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joaquini.molinarodriguez/Library/Mobile Documents/com~apple~CloudDocs/ 1. Inmuebles (copia 12:10:25)/0. Tablas, Guías y Contratos /1.  TU NEGOCIO INMOBILIARIO/2. Recursos/2. Tablas/Tablas excell/"/>
    </mc:Choice>
  </mc:AlternateContent>
  <xr:revisionPtr revIDLastSave="0" documentId="13_ncr:1_{FC1E254F-67CB-E543-9EF2-59F744BF80D4}" xr6:coauthVersionLast="47" xr6:coauthVersionMax="47" xr10:uidLastSave="{00000000-0000-0000-0000-000000000000}"/>
  <bookViews>
    <workbookView xWindow="0" yWindow="540" windowWidth="20480" windowHeight="12720" xr2:uid="{00000000-000D-0000-FFFF-FFFF00000000}"/>
  </bookViews>
  <sheets>
    <sheet name="TABLA DE GASTOS INICIALES" sheetId="1" r:id="rId1"/>
    <sheet name="Explicación de la tabl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8" i="1" l="1" a="1"/>
  <c r="H78" i="1" s="1"/>
  <c r="H75" i="1"/>
  <c r="H69" i="1" a="1"/>
  <c r="H69" i="1" s="1"/>
  <c r="H62" i="1" a="1"/>
  <c r="H62" i="1" s="1"/>
  <c r="H44" i="1" a="1"/>
  <c r="H44" i="1" s="1"/>
  <c r="H31" i="1"/>
  <c r="H31" i="1" a="1"/>
  <c r="H23" i="1" a="1"/>
  <c r="H23" i="1" s="1"/>
  <c r="H17" i="1" a="1"/>
  <c r="H17" i="1" s="1"/>
  <c r="G78" i="1" a="1"/>
  <c r="G78" i="1" s="1"/>
  <c r="G75" i="1"/>
  <c r="G69" i="1" a="1"/>
  <c r="G69" i="1" s="1"/>
  <c r="G62" i="1" a="1"/>
  <c r="G62" i="1" s="1"/>
  <c r="G44" i="1" a="1"/>
  <c r="G44" i="1" s="1"/>
  <c r="G31" i="1" a="1"/>
  <c r="G31" i="1" s="1"/>
  <c r="G23" i="1" a="1"/>
  <c r="G23" i="1" s="1"/>
  <c r="G17" i="1" a="1"/>
  <c r="G17" i="1" s="1"/>
  <c r="F75" i="1"/>
  <c r="E75" i="1"/>
  <c r="D75" i="1"/>
  <c r="D62" i="1"/>
  <c r="F78" i="1" a="1"/>
  <c r="F78" i="1" s="1"/>
  <c r="E78" i="1" a="1"/>
  <c r="E78" i="1" s="1"/>
  <c r="D78" i="1" a="1"/>
  <c r="D78" i="1" s="1"/>
  <c r="F69" i="1" a="1"/>
  <c r="F69" i="1" s="1"/>
  <c r="E69" i="1" a="1"/>
  <c r="E69" i="1" s="1"/>
  <c r="D69" i="1" a="1"/>
  <c r="D69" i="1" s="1"/>
  <c r="F62" i="1" a="1"/>
  <c r="F62" i="1" s="1"/>
  <c r="E62" i="1" a="1"/>
  <c r="E62" i="1" s="1"/>
  <c r="F44" i="1" a="1"/>
  <c r="F44" i="1" s="1"/>
  <c r="E44" i="1" a="1"/>
  <c r="E44" i="1" s="1"/>
  <c r="D44" i="1" a="1"/>
  <c r="D44" i="1" s="1"/>
  <c r="F31" i="1" a="1"/>
  <c r="F31" i="1" s="1"/>
  <c r="E31" i="1" a="1"/>
  <c r="E31" i="1" s="1"/>
  <c r="D31" i="1" a="1"/>
  <c r="D31" i="1" s="1"/>
  <c r="F23" i="1" a="1"/>
  <c r="F23" i="1" s="1"/>
  <c r="E23" i="1" a="1"/>
  <c r="E23" i="1" s="1"/>
  <c r="D23" i="1" a="1"/>
  <c r="D23" i="1" s="1"/>
  <c r="F17" i="1" a="1"/>
  <c r="F17" i="1" s="1"/>
  <c r="E17" i="1" a="1"/>
  <c r="E17" i="1" s="1"/>
  <c r="D17" i="1" a="1"/>
  <c r="D17" i="1" s="1"/>
  <c r="H79" i="1" l="1"/>
  <c r="G79" i="1"/>
  <c r="F79" i="1"/>
  <c r="E79" i="1"/>
  <c r="D7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<sst xmlns="http://schemas.openxmlformats.org/spreadsheetml/2006/main" count="89" uniqueCount="77">
  <si>
    <t>TABLA DE GASTOS INICIALES PARA VIVIENDAS</t>
  </si>
  <si>
    <t>INMUEBLE 1</t>
  </si>
  <si>
    <t>INMUEBLE 2</t>
  </si>
  <si>
    <t>INMUEBLE 3</t>
  </si>
  <si>
    <t>GASTOS INICIALES</t>
  </si>
  <si>
    <t>Precio de compra total o Capital de entrada (dinero puesto de tu propio bolsillo)</t>
  </si>
  <si>
    <r>
      <rPr>
        <b/>
        <sz val="10"/>
        <color indexed="8"/>
        <rFont val="Helvetica Neue"/>
        <family val="2"/>
      </rPr>
      <t xml:space="preserve">Gastos e impuestos de compra </t>
    </r>
    <r>
      <rPr>
        <sz val="10"/>
        <color indexed="8"/>
        <rFont val="Helvetica Neue"/>
        <family val="2"/>
      </rPr>
      <t>(Notaría, Registro, ITP/IVA, gestoría)</t>
    </r>
  </si>
  <si>
    <r>
      <rPr>
        <b/>
        <sz val="10"/>
        <color indexed="8"/>
        <rFont val="Helvetica Neue"/>
        <family val="2"/>
      </rPr>
      <t xml:space="preserve">Hipoteca </t>
    </r>
    <r>
      <rPr>
        <sz val="10"/>
        <color indexed="8"/>
        <rFont val="Helvetica Neue"/>
        <family val="2"/>
      </rPr>
      <t>(prorrateo hasta arrendar)</t>
    </r>
  </si>
  <si>
    <r>
      <rPr>
        <b/>
        <sz val="10"/>
        <color indexed="8"/>
        <rFont val="Helvetica Neue"/>
        <family val="2"/>
      </rPr>
      <t xml:space="preserve">Comunidad </t>
    </r>
    <r>
      <rPr>
        <sz val="10"/>
        <color indexed="8"/>
        <rFont val="Helvetica Neue"/>
        <family val="2"/>
      </rPr>
      <t>(prorrateo hasta arrendar)</t>
    </r>
  </si>
  <si>
    <r>
      <rPr>
        <b/>
        <sz val="10"/>
        <color indexed="8"/>
        <rFont val="Helvetica Neue"/>
        <family val="2"/>
      </rPr>
      <t xml:space="preserve">Seguro del hogar </t>
    </r>
    <r>
      <rPr>
        <sz val="10"/>
        <color indexed="8"/>
        <rFont val="Helvetica Neue"/>
        <family val="2"/>
      </rPr>
      <t>(prorrateo hasta arrendar)</t>
    </r>
  </si>
  <si>
    <r>
      <rPr>
        <b/>
        <sz val="10"/>
        <color indexed="8"/>
        <rFont val="Helvetica Neue"/>
        <family val="2"/>
      </rPr>
      <t xml:space="preserve">IBI </t>
    </r>
    <r>
      <rPr>
        <sz val="10"/>
        <color indexed="8"/>
        <rFont val="Helvetica Neue"/>
        <family val="2"/>
      </rPr>
      <t>(prorrateo hasta arrendar)</t>
    </r>
  </si>
  <si>
    <r>
      <rPr>
        <b/>
        <sz val="10"/>
        <color indexed="8"/>
        <rFont val="Helvetica Neue"/>
        <family val="2"/>
      </rPr>
      <t xml:space="preserve">Tasa de residuos urbanos </t>
    </r>
    <r>
      <rPr>
        <sz val="10"/>
        <color indexed="8"/>
        <rFont val="Helvetica Neue"/>
        <family val="2"/>
      </rPr>
      <t>(prorrateo hasta arrendar)</t>
    </r>
  </si>
  <si>
    <r>
      <rPr>
        <b/>
        <sz val="10"/>
        <color indexed="8"/>
        <rFont val="Helvetica Neue"/>
        <family val="2"/>
      </rPr>
      <t xml:space="preserve">Gasto de electricidad </t>
    </r>
    <r>
      <rPr>
        <sz val="10"/>
        <color indexed="8"/>
        <rFont val="Helvetica Neue"/>
        <family val="2"/>
      </rPr>
      <t>(hasta arrendar)</t>
    </r>
  </si>
  <si>
    <r>
      <rPr>
        <b/>
        <sz val="10"/>
        <color indexed="8"/>
        <rFont val="Helvetica Neue"/>
        <family val="2"/>
      </rPr>
      <t xml:space="preserve">Gasto de agua </t>
    </r>
    <r>
      <rPr>
        <sz val="10"/>
        <color indexed="8"/>
        <rFont val="Helvetica Neue"/>
        <family val="2"/>
      </rPr>
      <t>(hasta arrendar)</t>
    </r>
  </si>
  <si>
    <r>
      <rPr>
        <b/>
        <sz val="10"/>
        <color indexed="8"/>
        <rFont val="Helvetica Neue"/>
        <family val="2"/>
      </rPr>
      <t xml:space="preserve">Gasto de gas </t>
    </r>
    <r>
      <rPr>
        <sz val="10"/>
        <color indexed="8"/>
        <rFont val="Helvetica Neue"/>
        <family val="2"/>
      </rPr>
      <t>(hasta arrendar)</t>
    </r>
  </si>
  <si>
    <t xml:space="preserve">Otros </t>
  </si>
  <si>
    <t>TOTAL:</t>
  </si>
  <si>
    <t>TRÁMITES Y DOCUMENTACIÓN</t>
  </si>
  <si>
    <r>
      <rPr>
        <b/>
        <sz val="10"/>
        <color indexed="8"/>
        <rFont val="Helvetica Neue"/>
        <family val="2"/>
      </rPr>
      <t xml:space="preserve">Alta nueva de electricidad </t>
    </r>
    <r>
      <rPr>
        <sz val="10"/>
        <color indexed="8"/>
        <rFont val="Helvetica Neue"/>
        <family val="2"/>
      </rPr>
      <t>(si aplica)</t>
    </r>
  </si>
  <si>
    <r>
      <rPr>
        <b/>
        <sz val="10"/>
        <color indexed="8"/>
        <rFont val="Helvetica Neue"/>
        <family val="2"/>
      </rPr>
      <t xml:space="preserve">Alta nueva de agua </t>
    </r>
    <r>
      <rPr>
        <sz val="10"/>
        <color indexed="8"/>
        <rFont val="Helvetica Neue"/>
        <family val="2"/>
      </rPr>
      <t>(si aplica)</t>
    </r>
  </si>
  <si>
    <r>
      <rPr>
        <b/>
        <sz val="10"/>
        <color indexed="8"/>
        <rFont val="Helvetica Neue"/>
        <family val="2"/>
      </rPr>
      <t xml:space="preserve">Alta nueva de gas </t>
    </r>
    <r>
      <rPr>
        <sz val="10"/>
        <color indexed="8"/>
        <rFont val="Helvetica Neue"/>
        <family val="2"/>
      </rPr>
      <t>(si aplica)</t>
    </r>
  </si>
  <si>
    <r>
      <rPr>
        <b/>
        <sz val="10"/>
        <color indexed="8"/>
        <rFont val="Helvetica Neue"/>
        <family val="2"/>
      </rPr>
      <t xml:space="preserve">Licencias municipales </t>
    </r>
    <r>
      <rPr>
        <sz val="10"/>
        <color indexed="8"/>
        <rFont val="Helvetica Neue"/>
        <family val="2"/>
      </rPr>
      <t>(si aplica)</t>
    </r>
  </si>
  <si>
    <t>Otros trámites y documentación</t>
  </si>
  <si>
    <t>INVERSIÓN EN CALIDADES / REFORMAS BÁSICAS</t>
  </si>
  <si>
    <t>Obras</t>
  </si>
  <si>
    <t>Pintura</t>
  </si>
  <si>
    <r>
      <rPr>
        <b/>
        <sz val="10"/>
        <color indexed="8"/>
        <rFont val="Helvetica Neue"/>
        <family val="2"/>
      </rPr>
      <t xml:space="preserve">Carpintería </t>
    </r>
    <r>
      <rPr>
        <sz val="10"/>
        <color indexed="8"/>
        <rFont val="Helvetica Neue"/>
        <family val="2"/>
      </rPr>
      <t>(puertas, bombines, muebles de cocina, etc.)</t>
    </r>
  </si>
  <si>
    <t xml:space="preserve">Electricidad </t>
  </si>
  <si>
    <t>Fontanería</t>
  </si>
  <si>
    <t>Cristalería / persianas / mosquiteras</t>
  </si>
  <si>
    <t>EQUIPAMIENTO Y ELECTRODOMÉSTICOS</t>
  </si>
  <si>
    <t>Frigorífico</t>
  </si>
  <si>
    <t>Lavadora</t>
  </si>
  <si>
    <t>Horno</t>
  </si>
  <si>
    <t>Microondas</t>
  </si>
  <si>
    <t>Vitrocerámica</t>
  </si>
  <si>
    <t>Lavavajillas</t>
  </si>
  <si>
    <t>Campana extractora</t>
  </si>
  <si>
    <t>Calentador de agua</t>
  </si>
  <si>
    <t>Ósmosis inversa</t>
  </si>
  <si>
    <t xml:space="preserve">Aire acondicionado </t>
  </si>
  <si>
    <t>Ventiladores</t>
  </si>
  <si>
    <t>MUEBLES Y DECORACIÓN</t>
  </si>
  <si>
    <t>Luces y lámparas</t>
  </si>
  <si>
    <t>Colchón</t>
  </si>
  <si>
    <t>Canapé / somier</t>
  </si>
  <si>
    <t xml:space="preserve">Almohadas </t>
  </si>
  <si>
    <t>Mesitas de noche</t>
  </si>
  <si>
    <t>Sofá</t>
  </si>
  <si>
    <t>Ropa de cama y sofá</t>
  </si>
  <si>
    <t>Cortinas / estores</t>
  </si>
  <si>
    <t>Mueble TV</t>
  </si>
  <si>
    <t>Mesa comedor</t>
  </si>
  <si>
    <t>Sillas</t>
  </si>
  <si>
    <t xml:space="preserve">Armarios /estanterías </t>
  </si>
  <si>
    <t xml:space="preserve">Espejos </t>
  </si>
  <si>
    <t>Cuadros y alfombras</t>
  </si>
  <si>
    <t>Percheros</t>
  </si>
  <si>
    <t>Mampara / cortina de baño</t>
  </si>
  <si>
    <t>MENAJE</t>
  </si>
  <si>
    <t>Vajilla</t>
  </si>
  <si>
    <t xml:space="preserve">Cubiertos </t>
  </si>
  <si>
    <t>Sartenes / ollas</t>
  </si>
  <si>
    <t>Utensilios de cocina</t>
  </si>
  <si>
    <t>Kit básico de limpieza</t>
  </si>
  <si>
    <t>MARKETING Y CAPTACIÓN DE INQUILINOS</t>
  </si>
  <si>
    <t>Fotografía profesional</t>
  </si>
  <si>
    <t>Tour virtual 3D</t>
  </si>
  <si>
    <t>Publicación destacada</t>
  </si>
  <si>
    <t>Limpieza profesional previa</t>
  </si>
  <si>
    <t xml:space="preserve">Comisión inmobiliaria </t>
  </si>
  <si>
    <t>OTROS GASTOS</t>
  </si>
  <si>
    <t>Mandos a distancia / llaves copiadas</t>
  </si>
  <si>
    <t>www.tunegocioinmobiliario.com</t>
  </si>
  <si>
    <t>TOTAL DE TODOS LOS GASTOS:</t>
  </si>
  <si>
    <t>INMUEBLE 4</t>
  </si>
  <si>
    <t>INMUEBLE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</si>
</sst>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 0.00"/>
    <numFmt numFmtId="165" formatCode="[$€-2]\ #,##0.00"/>
  </numFmts>
  <fonts count="6" x14ac:knownFonts="1">
    <font>
      <sz val="10"/>
      <color indexed="8"/>
      <name val="Helvetica Neue"/>
    </font>
    <font>
      <b/>
      <i/>
      <sz val="12"/>
      <color indexed="8"/>
      <name val="Helvetica Neue"/>
      <family val="2"/>
    </font>
    <font>
      <b/>
      <sz val="10"/>
      <color indexed="8"/>
      <name val="Helvetica Neue"/>
      <family val="2"/>
    </font>
    <font>
      <b/>
      <sz val="10"/>
      <color indexed="14"/>
      <name val="Helvetica Neue"/>
      <family val="2"/>
    </font>
    <font>
      <sz val="10"/>
      <color indexed="8"/>
      <name val="Helvetica Neue"/>
      <family val="2"/>
    </font>
    <font>
      <u/>
      <sz val="10"/>
      <color theme="10"/>
      <name val="Helvetica Neue"/>
      <family val="2"/>
    </font>
  </fonts>
  <fills count="9">
    <fill>
      <patternFill patternType="none"/>
    </fill>
    <fill>
      <patternFill patternType="gray125"/>
    </fill>
    <fill>
      <gradientFill degree="90">
        <stop position="0">
          <color rgb="FF60D836"/>
        </stop>
        <stop position="1">
          <color rgb="FF017000"/>
        </stop>
      </gradientFill>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7"/>
        <bgColor auto="1"/>
      </patternFill>
    </fill>
    <fill>
      <patternFill patternType="solid">
        <fgColor theme="0"/>
        <bgColor indexed="64"/>
      </patternFill>
    </fill>
  </fills>
  <borders count="21">
    <border>
      <left/>
      <right/>
      <top/>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10"/>
      </bottom>
      <diagonal/>
    </border>
    <border>
      <left style="medium">
        <color indexed="8"/>
      </left>
      <right style="medium">
        <color indexed="8"/>
      </right>
      <top style="thin">
        <color indexed="10"/>
      </top>
      <bottom style="thin">
        <color indexed="10"/>
      </bottom>
      <diagonal/>
    </border>
    <border>
      <left style="medium">
        <color indexed="8"/>
      </left>
      <right style="medium">
        <color indexed="8"/>
      </right>
      <top style="thin">
        <color indexed="10"/>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10"/>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thin">
        <color indexed="10"/>
      </bottom>
      <diagonal/>
    </border>
    <border>
      <left style="medium">
        <color indexed="8"/>
      </left>
      <right style="medium">
        <color indexed="8"/>
      </right>
      <top style="thin">
        <color indexed="8"/>
      </top>
      <bottom style="thin">
        <color indexed="15"/>
      </bottom>
      <diagonal/>
    </border>
    <border>
      <left style="medium">
        <color indexed="8"/>
      </left>
      <right style="medium">
        <color indexed="8"/>
      </right>
      <top style="thin">
        <color indexed="15"/>
      </top>
      <bottom style="thin">
        <color indexed="10"/>
      </bottom>
      <diagonal/>
    </border>
    <border>
      <left style="medium">
        <color indexed="8"/>
      </left>
      <right style="medium">
        <color indexed="8"/>
      </right>
      <top style="medium">
        <color indexed="8"/>
      </top>
      <bottom style="thin">
        <color indexed="16"/>
      </bottom>
      <diagonal/>
    </border>
    <border>
      <left style="medium">
        <color indexed="8"/>
      </left>
      <right style="medium">
        <color indexed="8"/>
      </right>
      <top style="thin">
        <color indexed="16"/>
      </top>
      <bottom style="thin">
        <color indexed="16"/>
      </bottom>
      <diagonal/>
    </border>
    <border>
      <left style="medium">
        <color indexed="8"/>
      </left>
      <right style="medium">
        <color indexed="8"/>
      </right>
      <top style="thin">
        <color indexed="16"/>
      </top>
      <bottom style="thin">
        <color indexed="10"/>
      </bottom>
      <diagonal/>
    </border>
    <border>
      <left style="medium">
        <color indexed="8"/>
      </left>
      <right/>
      <top style="thin">
        <color indexed="10"/>
      </top>
      <bottom style="medium">
        <color indexed="8"/>
      </bottom>
      <diagonal/>
    </border>
    <border>
      <left style="medium">
        <color indexed="8"/>
      </left>
      <right style="medium">
        <color indexed="8"/>
      </right>
      <top style="thin">
        <color indexed="10"/>
      </top>
      <bottom/>
      <diagonal/>
    </border>
    <border>
      <left style="medium">
        <color indexed="8"/>
      </left>
      <right style="medium">
        <color indexed="8"/>
      </right>
      <top/>
      <bottom style="thin">
        <color indexed="10"/>
      </bottom>
      <diagonal/>
    </border>
    <border>
      <left style="medium">
        <color indexed="64"/>
      </left>
      <right style="medium">
        <color indexed="8"/>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s>
  <cellStyleXfs count="2">
    <xf numFmtId="0" fontId="0" fillId="0" borderId="0" applyNumberFormat="0" applyFill="0" applyBorder="0" applyProtection="0">
      <alignment vertical="top" wrapText="1"/>
    </xf>
    <xf numFmtId="0" fontId="5" fillId="0" borderId="0" applyNumberFormat="0" applyFill="0" applyBorder="0" applyAlignment="0" applyProtection="0">
      <alignment vertical="top" wrapText="1"/>
    </xf>
  </cellStyleXfs>
  <cellXfs count="49">
    <xf numFmtId="0" fontId="0" fillId="0" borderId="0" xfId="0">
      <alignment vertical="top" wrapText="1"/>
    </xf>
    <xf numFmtId="0" fontId="0" fillId="0" borderId="0" xfId="0" applyNumberFormat="1">
      <alignment vertical="top" wrapText="1"/>
    </xf>
    <xf numFmtId="49" fontId="2" fillId="4" borderId="2" xfId="0" applyNumberFormat="1" applyFont="1" applyFill="1" applyBorder="1" applyAlignment="1">
      <alignment horizontal="left" vertical="center" wrapText="1"/>
    </xf>
    <xf numFmtId="49" fontId="2" fillId="4" borderId="3" xfId="0" applyNumberFormat="1" applyFont="1" applyFill="1" applyBorder="1" applyAlignment="1">
      <alignment horizontal="left" vertical="center" wrapText="1"/>
    </xf>
    <xf numFmtId="49" fontId="2" fillId="4" borderId="4" xfId="0" applyNumberFormat="1" applyFont="1" applyFill="1" applyBorder="1" applyAlignment="1">
      <alignment horizontal="left" vertical="center" wrapText="1"/>
    </xf>
    <xf numFmtId="49" fontId="2" fillId="4" borderId="5" xfId="0" applyNumberFormat="1" applyFont="1" applyFill="1" applyBorder="1" applyAlignment="1">
      <alignment horizontal="left" vertical="center" wrapText="1"/>
    </xf>
    <xf numFmtId="49" fontId="2" fillId="4" borderId="7" xfId="0" applyNumberFormat="1" applyFont="1" applyFill="1" applyBorder="1" applyAlignment="1">
      <alignment horizontal="left" vertical="center" wrapText="1"/>
    </xf>
    <xf numFmtId="49" fontId="2" fillId="4" borderId="1" xfId="0" applyNumberFormat="1" applyFont="1" applyFill="1" applyBorder="1" applyAlignment="1">
      <alignment horizontal="right" vertical="center" wrapText="1"/>
    </xf>
    <xf numFmtId="49" fontId="2" fillId="4" borderId="8" xfId="0" applyNumberFormat="1" applyFont="1" applyFill="1" applyBorder="1" applyAlignment="1">
      <alignment horizontal="left" vertical="center" wrapText="1"/>
    </xf>
    <xf numFmtId="49" fontId="2" fillId="4" borderId="9" xfId="0" applyNumberFormat="1" applyFont="1" applyFill="1" applyBorder="1" applyAlignment="1">
      <alignment horizontal="left" vertical="center" wrapText="1"/>
    </xf>
    <xf numFmtId="49" fontId="2" fillId="4" borderId="6" xfId="0" applyNumberFormat="1" applyFont="1" applyFill="1" applyBorder="1" applyAlignment="1">
      <alignment vertical="center" wrapText="1"/>
    </xf>
    <xf numFmtId="49" fontId="2" fillId="4" borderId="3" xfId="0" applyNumberFormat="1" applyFont="1" applyFill="1" applyBorder="1" applyAlignment="1">
      <alignment vertical="center" wrapText="1"/>
    </xf>
    <xf numFmtId="49" fontId="2" fillId="4" borderId="10" xfId="0" applyNumberFormat="1" applyFont="1" applyFill="1" applyBorder="1" applyAlignment="1">
      <alignment horizontal="left" vertical="center" wrapText="1"/>
    </xf>
    <xf numFmtId="49" fontId="2" fillId="4" borderId="11" xfId="0" applyNumberFormat="1" applyFont="1" applyFill="1" applyBorder="1" applyAlignment="1">
      <alignment horizontal="left" vertical="center" wrapText="1"/>
    </xf>
    <xf numFmtId="49" fontId="2" fillId="4" borderId="12" xfId="0" applyNumberFormat="1" applyFont="1" applyFill="1" applyBorder="1" applyAlignment="1">
      <alignment horizontal="left" vertical="center" wrapText="1"/>
    </xf>
    <xf numFmtId="49" fontId="2" fillId="4" borderId="13" xfId="0" applyNumberFormat="1" applyFont="1" applyFill="1" applyBorder="1" applyAlignment="1">
      <alignment horizontal="left" vertical="center" wrapText="1"/>
    </xf>
    <xf numFmtId="49" fontId="2" fillId="4" borderId="14" xfId="0" applyNumberFormat="1" applyFont="1" applyFill="1" applyBorder="1" applyAlignment="1">
      <alignment horizontal="left" vertical="center" wrapText="1"/>
    </xf>
    <xf numFmtId="49" fontId="2" fillId="4" borderId="6" xfId="0" applyNumberFormat="1" applyFont="1" applyFill="1" applyBorder="1" applyAlignment="1">
      <alignment horizontal="left" vertical="center" wrapText="1"/>
    </xf>
    <xf numFmtId="164" fontId="0" fillId="7" borderId="1" xfId="0" applyNumberFormat="1" applyFill="1" applyBorder="1" applyAlignment="1">
      <alignment horizontal="center" vertical="center" wrapText="1"/>
    </xf>
    <xf numFmtId="49" fontId="2" fillId="4" borderId="16" xfId="0" applyNumberFormat="1" applyFont="1" applyFill="1" applyBorder="1" applyAlignment="1">
      <alignment horizontal="left" vertical="center" wrapText="1"/>
    </xf>
    <xf numFmtId="49" fontId="2" fillId="4" borderId="17" xfId="0" applyNumberFormat="1" applyFont="1" applyFill="1" applyBorder="1" applyAlignment="1">
      <alignment vertical="center" wrapText="1"/>
    </xf>
    <xf numFmtId="49" fontId="2" fillId="4" borderId="18" xfId="0" applyNumberFormat="1" applyFont="1" applyFill="1" applyBorder="1" applyAlignment="1">
      <alignment horizontal="right" vertical="center" wrapText="1"/>
    </xf>
    <xf numFmtId="0" fontId="4" fillId="0" borderId="0" xfId="0" applyFont="1">
      <alignment vertical="top" wrapText="1"/>
    </xf>
    <xf numFmtId="49" fontId="2" fillId="2" borderId="1" xfId="0" applyNumberFormat="1" applyFont="1" applyFill="1" applyBorder="1" applyAlignment="1" applyProtection="1">
      <alignment horizontal="center" vertical="center" wrapText="1"/>
      <protection locked="0"/>
    </xf>
    <xf numFmtId="164" fontId="0" fillId="5" borderId="2" xfId="0" applyNumberFormat="1" applyFill="1" applyBorder="1" applyAlignment="1" applyProtection="1">
      <alignment horizontal="center" vertical="center" wrapText="1"/>
      <protection locked="0"/>
    </xf>
    <xf numFmtId="164" fontId="0" fillId="5" borderId="3" xfId="0" applyNumberFormat="1" applyFill="1" applyBorder="1" applyAlignment="1" applyProtection="1">
      <alignment horizontal="center" vertical="center" wrapText="1"/>
      <protection locked="0"/>
    </xf>
    <xf numFmtId="165" fontId="3" fillId="5" borderId="3" xfId="0" applyNumberFormat="1" applyFont="1" applyFill="1" applyBorder="1" applyAlignment="1" applyProtection="1">
      <alignment vertical="center" wrapText="1"/>
      <protection locked="0"/>
    </xf>
    <xf numFmtId="164" fontId="0" fillId="5" borderId="6" xfId="0" applyNumberFormat="1" applyFill="1" applyBorder="1" applyAlignment="1" applyProtection="1">
      <alignment horizontal="center" vertical="center" wrapText="1"/>
      <protection locked="0"/>
    </xf>
    <xf numFmtId="165" fontId="0" fillId="5" borderId="3" xfId="0" applyNumberFormat="1" applyFill="1" applyBorder="1" applyAlignment="1" applyProtection="1">
      <alignment vertical="center" wrapText="1"/>
      <protection locked="0"/>
    </xf>
    <xf numFmtId="164" fontId="0" fillId="5" borderId="16" xfId="0" applyNumberFormat="1" applyFill="1" applyBorder="1" applyAlignment="1" applyProtection="1">
      <alignment horizontal="center" vertical="center" wrapText="1"/>
      <protection locked="0"/>
    </xf>
    <xf numFmtId="164" fontId="0" fillId="5" borderId="17" xfId="0" applyNumberFormat="1" applyFill="1" applyBorder="1" applyAlignment="1" applyProtection="1">
      <alignment horizontal="center" vertical="center" wrapText="1"/>
      <protection locked="0"/>
    </xf>
    <xf numFmtId="0" fontId="5" fillId="0" borderId="0" xfId="1" applyNumberForma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xf>
    <xf numFmtId="49" fontId="2" fillId="2" borderId="8" xfId="0" applyNumberFormat="1" applyFont="1" applyFill="1" applyBorder="1" applyAlignment="1">
      <alignment horizontal="center" vertical="center" wrapText="1"/>
    </xf>
    <xf numFmtId="0" fontId="2" fillId="6" borderId="5" xfId="0" applyFont="1" applyFill="1" applyBorder="1">
      <alignment vertical="top" wrapText="1"/>
    </xf>
    <xf numFmtId="0" fontId="2" fillId="6" borderId="7" xfId="0" applyFont="1" applyFill="1" applyBorder="1">
      <alignment vertical="top" wrapText="1"/>
    </xf>
    <xf numFmtId="0" fontId="2" fillId="6" borderId="1" xfId="0" applyFont="1" applyFill="1" applyBorder="1">
      <alignment vertical="top" wrapText="1"/>
    </xf>
    <xf numFmtId="49" fontId="2" fillId="2" borderId="2" xfId="0" applyNumberFormat="1" applyFont="1" applyFill="1" applyBorder="1" applyAlignment="1">
      <alignment horizontal="center" vertical="center" wrapText="1"/>
    </xf>
    <xf numFmtId="0" fontId="2" fillId="6" borderId="3" xfId="0" applyFont="1" applyFill="1" applyBorder="1">
      <alignment vertical="top" wrapText="1"/>
    </xf>
    <xf numFmtId="0" fontId="2" fillId="6" borderId="6" xfId="0" applyFont="1" applyFill="1" applyBorder="1">
      <alignment vertical="top" wrapText="1"/>
    </xf>
    <xf numFmtId="49" fontId="2" fillId="2" borderId="1" xfId="0" applyNumberFormat="1" applyFont="1" applyFill="1" applyBorder="1" applyAlignment="1">
      <alignment horizontal="center" vertical="center" wrapText="1"/>
    </xf>
    <xf numFmtId="0" fontId="2" fillId="3" borderId="1" xfId="0" applyFont="1" applyFill="1" applyBorder="1">
      <alignment vertical="top" wrapText="1"/>
    </xf>
    <xf numFmtId="0" fontId="2" fillId="6" borderId="10" xfId="0" applyFont="1" applyFill="1" applyBorder="1">
      <alignment vertical="top" wrapText="1"/>
    </xf>
    <xf numFmtId="0" fontId="2" fillId="6" borderId="11" xfId="0" applyFont="1" applyFill="1" applyBorder="1">
      <alignment vertical="top" wrapText="1"/>
    </xf>
    <xf numFmtId="0" fontId="2" fillId="6" borderId="15" xfId="0" applyFont="1" applyFill="1" applyBorder="1">
      <alignment vertical="top" wrapText="1"/>
    </xf>
    <xf numFmtId="164" fontId="0" fillId="8" borderId="1" xfId="0" applyNumberFormat="1" applyFill="1" applyBorder="1" applyAlignment="1">
      <alignment horizontal="center" vertical="center" wrapText="1"/>
    </xf>
    <xf numFmtId="164" fontId="0" fillId="8" borderId="19" xfId="0" applyNumberFormat="1" applyFill="1" applyBorder="1" applyAlignment="1">
      <alignment horizontal="center" vertical="center" wrapText="1"/>
    </xf>
    <xf numFmtId="164" fontId="0" fillId="8" borderId="20" xfId="0" applyNumberFormat="1" applyFill="1" applyBorder="1" applyAlignment="1">
      <alignment horizontal="center" vertical="center" wrapText="1"/>
    </xf>
  </cellXfs>
  <cellStyles count="2">
    <cellStyle name="Hipervínculo"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CFF7C4"/>
      <rgbColor rgb="FF72FCE9"/>
      <rgbColor rgb="FFDBDBDB"/>
      <rgbColor rgb="FFB41700"/>
      <rgbColor rgb="FF7F7F7F"/>
      <rgbColor rgb="FFBFBFBF"/>
      <rgbColor rgb="FFFFD931"/>
      <rgbColor rgb="FF111111"/>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21</xdr:col>
      <xdr:colOff>770619</xdr:colOff>
      <xdr:row>85</xdr:row>
      <xdr:rowOff>152400</xdr:rowOff>
    </xdr:to>
    <xdr:sp macro="" textlink="">
      <xdr:nvSpPr>
        <xdr:cNvPr id="2" name="Tabla de Gastos Iniciales en Inmuebles…">
          <a:extLst>
            <a:ext uri="{FF2B5EF4-FFF2-40B4-BE49-F238E27FC236}">
              <a16:creationId xmlns:a16="http://schemas.microsoft.com/office/drawing/2014/main" id="{79688468-8F1A-D64F-AB2F-E43BA717D4BF}"/>
            </a:ext>
          </a:extLst>
        </xdr:cNvPr>
        <xdr:cNvSpPr txBox="1"/>
      </xdr:nvSpPr>
      <xdr:spPr>
        <a:xfrm>
          <a:off x="829733" y="338667"/>
          <a:ext cx="17365286" cy="14207066"/>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50800" tIns="50800" rIns="50800" bIns="50800" numCol="1" anchor="t">
          <a:noAutofit/>
        </a:bodyPr>
        <a:lstStyle/>
        <a:p>
          <a:pPr marL="0" marR="0" indent="0" algn="just" defTabSz="12700" latinLnBrk="0">
            <a:lnSpc>
              <a:spcPct val="135000"/>
            </a:lnSpc>
            <a:spcBef>
              <a:spcPts val="0"/>
            </a:spcBef>
            <a:spcAft>
              <a:spcPts val="0"/>
            </a:spcAft>
            <a:buClrTx/>
            <a:buSzTx/>
            <a:buFontTx/>
            <a:buNone/>
            <a:defRPr sz="1700" b="1" i="0" u="none" strike="noStrike" cap="none" spc="0" baseline="0">
              <a:solidFill>
                <a:srgbClr val="111111"/>
              </a:solidFill>
              <a:uFillTx/>
              <a:latin typeface="Helvetica"/>
              <a:ea typeface="Helvetica"/>
              <a:cs typeface="Helvetica"/>
              <a:sym typeface="Helvetica"/>
            </a:defRPr>
          </a:pPr>
          <a:r>
            <a:rPr sz="1800" b="1" i="0" u="none" strike="noStrike" cap="none" spc="0" baseline="0">
              <a:solidFill>
                <a:srgbClr val="111111"/>
              </a:solidFill>
              <a:uFillTx/>
              <a:latin typeface="Helvetica"/>
              <a:ea typeface="Helvetica"/>
              <a:cs typeface="Helvetica"/>
              <a:sym typeface="Helvetica"/>
            </a:rPr>
            <a:t>Tabla de Gastos Iniciales en Inmuebles</a:t>
          </a:r>
        </a:p>
        <a:p>
          <a:pPr marL="0" marR="0" indent="0" algn="just" defTabSz="12700" latinLnBrk="0">
            <a:lnSpc>
              <a:spcPct val="135000"/>
            </a:lnSpc>
            <a:spcBef>
              <a:spcPts val="0"/>
            </a:spcBef>
            <a:spcAft>
              <a:spcPts val="0"/>
            </a:spcAft>
            <a:buClrTx/>
            <a:buSzTx/>
            <a:buFontTx/>
            <a:buNone/>
            <a:defRPr sz="1700" b="1" i="0" u="none" strike="noStrike" cap="none" spc="0" baseline="0">
              <a:solidFill>
                <a:srgbClr val="111111"/>
              </a:solidFill>
              <a:uFillTx/>
              <a:latin typeface="Helvetica"/>
              <a:ea typeface="Helvetica"/>
              <a:cs typeface="Helvetica"/>
              <a:sym typeface="Helvetica"/>
            </a:defRPr>
          </a:pPr>
          <a:endParaRPr sz="1400" b="0" i="0" u="none" strike="noStrike" cap="none" spc="0" baseline="0">
            <a:solidFill>
              <a:srgbClr val="111111"/>
            </a:solidFill>
            <a:uFillTx/>
            <a:latin typeface="Helvetica"/>
            <a:ea typeface="Helvetica"/>
            <a:cs typeface="Helvetica"/>
            <a:sym typeface="Helvetica"/>
          </a:endParaRP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Esta tabla está pensada como una </a:t>
          </a:r>
          <a:r>
            <a:rPr sz="1400" b="1" i="0" u="none" strike="noStrike" cap="none" spc="0" baseline="0">
              <a:solidFill>
                <a:srgbClr val="000000"/>
              </a:solidFill>
              <a:uFillTx/>
              <a:latin typeface="+mn-lt"/>
              <a:ea typeface="+mn-ea"/>
              <a:cs typeface="+mn-cs"/>
              <a:sym typeface="Helvetica Neue"/>
            </a:rPr>
            <a:t>herramienta práctica de registro y control</a:t>
          </a:r>
          <a:r>
            <a:rPr sz="1400" b="0" i="0" u="none" strike="noStrike" cap="none" spc="0" baseline="0">
              <a:solidFill>
                <a:srgbClr val="000000"/>
              </a:solidFill>
              <a:uFillTx/>
              <a:latin typeface="+mn-lt"/>
              <a:ea typeface="+mn-ea"/>
              <a:cs typeface="+mn-cs"/>
              <a:sym typeface="Helvetica Neue"/>
            </a:rPr>
            <a:t> de los gastos necesarios para poner una vivienda en funcionamiento, tanto si se destina a vivienda habitual como si se adquiere con fines de arrendamiento.</a:t>
          </a: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sz="1400" b="0" i="0" u="none" strike="noStrike" cap="none" spc="0" baseline="0">
            <a:solidFill>
              <a:srgbClr val="000000"/>
            </a:solidFill>
            <a:uFillTx/>
            <a:latin typeface="+mn-lt"/>
            <a:ea typeface="+mn-ea"/>
            <a:cs typeface="+mn-cs"/>
            <a:sym typeface="Helvetica Neue"/>
          </a:endParaRP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Cada columna corresponde a una vivienda distinta, lo que te permite </a:t>
          </a:r>
          <a:r>
            <a:rPr sz="1400" b="1" i="0" u="none" strike="noStrike" cap="none" spc="0" baseline="0">
              <a:solidFill>
                <a:srgbClr val="000000"/>
              </a:solidFill>
              <a:uFillTx/>
              <a:latin typeface="+mn-lt"/>
              <a:ea typeface="+mn-ea"/>
              <a:cs typeface="+mn-cs"/>
              <a:sym typeface="Helvetica Neue"/>
            </a:rPr>
            <a:t>almacenar y comparar, de un vistazo</a:t>
          </a:r>
          <a:r>
            <a:rPr sz="1400" b="0" i="0" u="none" strike="noStrike" cap="none" spc="0" baseline="0">
              <a:solidFill>
                <a:srgbClr val="000000"/>
              </a:solidFill>
              <a:uFillTx/>
              <a:latin typeface="+mn-lt"/>
              <a:ea typeface="+mn-ea"/>
              <a:cs typeface="+mn-cs"/>
              <a:sym typeface="Helvetica Neue"/>
            </a:rPr>
            <a:t>, el coste real que ha supuesto cada operación: desde la compra del inmueble hasta dejarlo listo para su uso.</a:t>
          </a: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sz="1400" b="0" i="0" u="none" strike="noStrike" cap="none" spc="0" baseline="0">
            <a:solidFill>
              <a:srgbClr val="000000"/>
            </a:solidFill>
            <a:uFillTx/>
            <a:latin typeface="+mn-lt"/>
            <a:ea typeface="+mn-ea"/>
            <a:cs typeface="+mn-cs"/>
            <a:sym typeface="Helvetica Neue"/>
          </a:endParaRP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Puede utilizarse tanto para </a:t>
          </a:r>
          <a:r>
            <a:rPr sz="1400" b="1" i="0" u="none" strike="noStrike" cap="none" spc="0" baseline="0">
              <a:solidFill>
                <a:srgbClr val="000000"/>
              </a:solidFill>
              <a:uFillTx/>
              <a:latin typeface="+mn-lt"/>
              <a:ea typeface="+mn-ea"/>
              <a:cs typeface="+mn-cs"/>
              <a:sym typeface="Helvetica Neue"/>
            </a:rPr>
            <a:t>valorar posibles inversiones</a:t>
          </a:r>
          <a:r>
            <a:rPr sz="1400" b="0" i="0" u="none" strike="noStrike" cap="none" spc="0" baseline="0">
              <a:solidFill>
                <a:srgbClr val="000000"/>
              </a:solidFill>
              <a:uFillTx/>
              <a:latin typeface="+mn-lt"/>
              <a:ea typeface="+mn-ea"/>
              <a:cs typeface="+mn-cs"/>
              <a:sym typeface="Helvetica Neue"/>
            </a:rPr>
            <a:t> como para </a:t>
          </a:r>
          <a:r>
            <a:rPr sz="1400" b="1" i="0" u="none" strike="noStrike" cap="none" spc="0" baseline="0">
              <a:solidFill>
                <a:srgbClr val="000000"/>
              </a:solidFill>
              <a:uFillTx/>
              <a:latin typeface="+mn-lt"/>
              <a:ea typeface="+mn-ea"/>
              <a:cs typeface="+mn-cs"/>
              <a:sym typeface="Helvetica Neue"/>
            </a:rPr>
            <a:t>llevar un histórico de gastos</a:t>
          </a:r>
          <a:r>
            <a:rPr sz="1400" b="0" i="0" u="none" strike="noStrike" cap="none" spc="0" baseline="0">
              <a:solidFill>
                <a:srgbClr val="000000"/>
              </a:solidFill>
              <a:uFillTx/>
              <a:latin typeface="+mn-lt"/>
              <a:ea typeface="+mn-ea"/>
              <a:cs typeface="+mn-cs"/>
              <a:sym typeface="Helvetica Neue"/>
            </a:rPr>
            <a:t> de viviendas ya adquiridas, facilitando la toma de decisiones, el control del capital invertido y la comparación de la eficacia de cada operación.</a:t>
          </a: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sz="1400" b="0" i="0" u="none" strike="noStrike" cap="none" spc="0" baseline="0">
            <a:solidFill>
              <a:srgbClr val="000000"/>
            </a:solidFill>
            <a:uFillTx/>
            <a:latin typeface="+mn-lt"/>
            <a:ea typeface="+mn-ea"/>
            <a:cs typeface="+mn-cs"/>
            <a:sym typeface="Helvetica Neue"/>
          </a:endParaRP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Esta tabla cumple además una función clave a medio y largo plazo: </a:t>
          </a:r>
          <a:r>
            <a:rPr sz="1400" b="1" i="0" u="none" strike="noStrike" cap="none" spc="0" baseline="0">
              <a:solidFill>
                <a:srgbClr val="000000"/>
              </a:solidFill>
              <a:uFillTx/>
              <a:latin typeface="+mn-lt"/>
              <a:ea typeface="+mn-ea"/>
              <a:cs typeface="+mn-cs"/>
              <a:sym typeface="Helvetica Neue"/>
            </a:rPr>
            <a:t>llevar la contabilidad real de los gastos asociados a cada inmueble</a:t>
          </a:r>
          <a:r>
            <a:rPr sz="1400" b="0" i="0" u="none" strike="noStrike" cap="none" spc="0" baseline="0">
              <a:solidFill>
                <a:srgbClr val="000000"/>
              </a:solidFill>
              <a:uFillTx/>
              <a:latin typeface="+mn-lt"/>
              <a:ea typeface="+mn-ea"/>
              <a:cs typeface="+mn-cs"/>
              <a:sym typeface="Helvetica Neue"/>
            </a:rPr>
            <a:t>. Cada columna actúa como un histórico individual que te permite recordar rápidamente:</a:t>
          </a: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sz="1400" b="0" i="0" u="none" strike="noStrike" cap="none" spc="0" baseline="0">
            <a:solidFill>
              <a:srgbClr val="000000"/>
            </a:solidFill>
            <a:uFillTx/>
            <a:latin typeface="+mn-lt"/>
            <a:ea typeface="+mn-ea"/>
            <a:cs typeface="+mn-cs"/>
            <a:sym typeface="Helvetica Neue"/>
          </a:endParaRPr>
        </a:p>
        <a:p>
          <a:pPr marL="558800" marR="0" lvl="3" indent="-139700" algn="just" defTabSz="457200" latinLnBrk="0">
            <a:lnSpc>
              <a:spcPct val="100000"/>
            </a:lnSpc>
            <a:spcBef>
              <a:spcPts val="0"/>
            </a:spcBef>
            <a:spcAft>
              <a:spcPts val="0"/>
            </a:spcAft>
            <a:buClrTx/>
            <a:buSzPct val="100000"/>
            <a:buFontTx/>
            <a:buChar char="•"/>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cuánto te ha costado realmente arrancar cada operación,</a:t>
          </a:r>
        </a:p>
        <a:p>
          <a:pPr marL="558800" marR="0" lvl="3" indent="-139700" algn="just" defTabSz="457200" latinLnBrk="0">
            <a:lnSpc>
              <a:spcPct val="100000"/>
            </a:lnSpc>
            <a:spcBef>
              <a:spcPts val="0"/>
            </a:spcBef>
            <a:spcAft>
              <a:spcPts val="0"/>
            </a:spcAft>
            <a:buClrTx/>
            <a:buSzPct val="100000"/>
            <a:buFontTx/>
            <a:buChar char="•"/>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en qué partidas se ha concentrado el gasto,</a:t>
          </a:r>
        </a:p>
        <a:p>
          <a:pPr marL="558800" marR="0" lvl="3" indent="-139700" algn="just" defTabSz="457200" latinLnBrk="0">
            <a:lnSpc>
              <a:spcPct val="100000"/>
            </a:lnSpc>
            <a:spcBef>
              <a:spcPts val="0"/>
            </a:spcBef>
            <a:spcAft>
              <a:spcPts val="0"/>
            </a:spcAft>
            <a:buClrTx/>
            <a:buSzPct val="100000"/>
            <a:buFontTx/>
            <a:buChar char="•"/>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y qué inmuebles han sido más eficientes desde el punto de vista de la inversión inicial.</a:t>
          </a: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lang="es-ES" sz="1400" b="0" i="0" u="none" strike="noStrike" cap="none" spc="0" baseline="0">
            <a:solidFill>
              <a:srgbClr val="000000"/>
            </a:solidFill>
            <a:uFillTx/>
            <a:latin typeface="+mn-lt"/>
            <a:ea typeface="+mn-ea"/>
            <a:cs typeface="+mn-cs"/>
            <a:sym typeface="Helvetica Neue"/>
          </a:endParaRP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lang="es-ES" sz="1400" b="0" i="0" u="none" strike="noStrike" cap="none" spc="0" baseline="0">
            <a:solidFill>
              <a:srgbClr val="000000"/>
            </a:solidFill>
            <a:uFillTx/>
            <a:latin typeface="+mn-lt"/>
            <a:ea typeface="+mn-ea"/>
            <a:cs typeface="+mn-cs"/>
            <a:sym typeface="Helvetica Neue"/>
          </a:endParaRP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sz="1400" b="0" i="0" u="none" strike="noStrike" cap="none" spc="0" baseline="0">
            <a:solidFill>
              <a:srgbClr val="000000"/>
            </a:solidFill>
            <a:uFillTx/>
            <a:latin typeface="+mn-lt"/>
            <a:ea typeface="+mn-ea"/>
            <a:cs typeface="+mn-cs"/>
            <a:sym typeface="Helvetica Neue"/>
          </a:endParaRPr>
        </a:p>
        <a:p>
          <a:pPr marL="0" marR="0" indent="0" algn="just" defTabSz="457200" latinLnBrk="0">
            <a:lnSpc>
              <a:spcPct val="100000"/>
            </a:lnSpc>
            <a:spcBef>
              <a:spcPts val="0"/>
            </a:spcBef>
            <a:spcAft>
              <a:spcPts val="0"/>
            </a:spcAft>
            <a:buClrTx/>
            <a:buSzTx/>
            <a:buFontTx/>
            <a:buNone/>
            <a:defRPr sz="1700" b="1" i="0" u="none" strike="noStrike" cap="none" spc="0" baseline="0">
              <a:solidFill>
                <a:srgbClr val="000000"/>
              </a:solidFill>
              <a:uFillTx/>
              <a:latin typeface="+mn-lt"/>
              <a:ea typeface="+mn-ea"/>
              <a:cs typeface="+mn-cs"/>
              <a:sym typeface="Helvetica Neue"/>
            </a:defRPr>
          </a:pPr>
          <a:r>
            <a:rPr lang="es-ES" sz="1700" b="1" i="0" u="none" strike="noStrike" cap="none" spc="0" baseline="0">
              <a:solidFill>
                <a:srgbClr val="000000"/>
              </a:solidFill>
              <a:uFillTx/>
              <a:latin typeface="+mn-lt"/>
              <a:ea typeface="+mn-ea"/>
              <a:cs typeface="+mn-cs"/>
              <a:sym typeface="Helvetica Neue"/>
            </a:rPr>
            <a:t>		</a:t>
          </a:r>
          <a:r>
            <a:rPr sz="1800" b="1" i="0" u="none" strike="noStrike" cap="none" spc="0" baseline="0">
              <a:solidFill>
                <a:srgbClr val="000000"/>
              </a:solidFill>
              <a:uFillTx/>
              <a:latin typeface="+mn-lt"/>
              <a:ea typeface="+mn-ea"/>
              <a:cs typeface="+mn-cs"/>
              <a:sym typeface="Helvetica Neue"/>
            </a:rPr>
            <a:t>Cómo enlazar esta tabla con la Tabla para Previsiones de Ingresos por Arrendamiento</a:t>
          </a:r>
        </a:p>
        <a:p>
          <a:pPr marL="0" marR="0" indent="0" algn="just" defTabSz="457200" latinLnBrk="0">
            <a:lnSpc>
              <a:spcPct val="100000"/>
            </a:lnSpc>
            <a:spcBef>
              <a:spcPts val="0"/>
            </a:spcBef>
            <a:spcAft>
              <a:spcPts val="0"/>
            </a:spcAft>
            <a:buClrTx/>
            <a:buSzTx/>
            <a:buFontTx/>
            <a:buNone/>
            <a:defRPr sz="1700" b="1" i="0" u="none" strike="noStrike" cap="none" spc="0" baseline="0">
              <a:solidFill>
                <a:srgbClr val="000000"/>
              </a:solidFill>
              <a:uFillTx/>
              <a:latin typeface="+mn-lt"/>
              <a:ea typeface="+mn-ea"/>
              <a:cs typeface="+mn-cs"/>
              <a:sym typeface="Helvetica Neue"/>
            </a:defRPr>
          </a:pPr>
          <a:endParaRPr sz="1700" b="1" i="0" u="none" strike="noStrike" cap="none" spc="0" baseline="0">
            <a:solidFill>
              <a:srgbClr val="000000"/>
            </a:solidFill>
            <a:uFillTx/>
            <a:latin typeface="+mn-lt"/>
            <a:ea typeface="+mn-ea"/>
            <a:cs typeface="+mn-cs"/>
            <a:sym typeface="Helvetica Neue"/>
          </a:endParaRPr>
        </a:p>
        <a:p>
          <a:pPr marL="0" marR="0" indent="0" algn="l" defTabSz="12700" latinLnBrk="0">
            <a:lnSpc>
              <a:spcPct val="135000"/>
            </a:lnSpc>
            <a:spcBef>
              <a:spcPts val="0"/>
            </a:spcBef>
            <a:spcAft>
              <a:spcPts val="0"/>
            </a:spcAft>
            <a:buClrTx/>
            <a:buSzTx/>
            <a:buFontTx/>
            <a:buNone/>
            <a:defRPr sz="1400" b="0" i="0" u="none" strike="noStrike" cap="none" spc="0" baseline="0">
              <a:solidFill>
                <a:srgbClr val="111111"/>
              </a:solidFill>
              <a:uFillTx/>
              <a:latin typeface="Helvetica"/>
              <a:ea typeface="Helvetica"/>
              <a:cs typeface="Helvetica"/>
              <a:sym typeface="Helvetica"/>
            </a:defRPr>
          </a:pPr>
          <a:r>
            <a:rPr sz="1400" b="0" i="0" u="none" strike="noStrike" cap="none" spc="0" baseline="0">
              <a:solidFill>
                <a:srgbClr val="111111"/>
              </a:solidFill>
              <a:uFillTx/>
              <a:latin typeface="Helvetica"/>
              <a:ea typeface="Helvetica"/>
              <a:cs typeface="Helvetica"/>
              <a:sym typeface="Helvetica"/>
            </a:rPr>
            <a:t>Una vez analizados uno o varios inmuebles como posibles adquisiciones y conocidos sus </a:t>
          </a:r>
          <a:r>
            <a:rPr sz="1400" b="1" i="0" u="none" strike="noStrike" cap="none" spc="0" baseline="0">
              <a:solidFill>
                <a:srgbClr val="111111"/>
              </a:solidFill>
              <a:uFillTx/>
              <a:latin typeface="+mn-lt"/>
              <a:ea typeface="+mn-ea"/>
              <a:cs typeface="+mn-cs"/>
              <a:sym typeface="Helvetica Neue"/>
            </a:rPr>
            <a:t>costes reales de puesta en funcionamiento</a:t>
          </a:r>
          <a:r>
            <a:rPr sz="1400" b="0" i="0" u="none" strike="noStrike" cap="none" spc="0" baseline="0">
              <a:solidFill>
                <a:srgbClr val="111111"/>
              </a:solidFill>
              <a:uFillTx/>
              <a:latin typeface="Helvetica"/>
              <a:ea typeface="Helvetica"/>
              <a:cs typeface="Helvetica"/>
              <a:sym typeface="Helvetica"/>
            </a:rPr>
            <a:t>, el siguiente paso lógico es trasladar esta información a la </a:t>
          </a:r>
          <a:r>
            <a:rPr sz="1400" b="1" i="0" u="none" strike="noStrike" cap="none" spc="0" baseline="0">
              <a:solidFill>
                <a:srgbClr val="111111"/>
              </a:solidFill>
              <a:uFillTx/>
              <a:latin typeface="+mn-lt"/>
              <a:ea typeface="+mn-ea"/>
              <a:cs typeface="+mn-cs"/>
              <a:sym typeface="Helvetica Neue"/>
            </a:rPr>
            <a:t>Tabla de Previsiones de Ingresos por Arrendamiento</a:t>
          </a:r>
          <a:r>
            <a:rPr sz="1400" b="0" i="0" u="none" strike="noStrike" cap="none" spc="0" baseline="0">
              <a:solidFill>
                <a:srgbClr val="111111"/>
              </a:solidFill>
              <a:uFillTx/>
              <a:latin typeface="Helvetica"/>
              <a:ea typeface="Helvetica"/>
              <a:cs typeface="Helvetica"/>
              <a:sym typeface="Helvetica"/>
            </a:rPr>
            <a:t>.</a:t>
          </a:r>
        </a:p>
        <a:p>
          <a:pPr marL="0" marR="0" indent="0" algn="l" defTabSz="12700" latinLnBrk="0">
            <a:lnSpc>
              <a:spcPct val="135000"/>
            </a:lnSpc>
            <a:spcBef>
              <a:spcPts val="0"/>
            </a:spcBef>
            <a:spcAft>
              <a:spcPts val="0"/>
            </a:spcAft>
            <a:buClrTx/>
            <a:buSzTx/>
            <a:buFontTx/>
            <a:buNone/>
            <a:defRPr sz="1400" b="0" i="0" u="none" strike="noStrike" cap="none" spc="0" baseline="0">
              <a:solidFill>
                <a:srgbClr val="111111"/>
              </a:solidFill>
              <a:uFillTx/>
              <a:latin typeface="Helvetica"/>
              <a:ea typeface="Helvetica"/>
              <a:cs typeface="Helvetica"/>
              <a:sym typeface="Helvetica"/>
            </a:defRPr>
          </a:pPr>
          <a:endParaRPr sz="1400" b="0" i="0" u="none" strike="noStrike" cap="none" spc="0" baseline="0">
            <a:solidFill>
              <a:srgbClr val="111111"/>
            </a:solidFill>
            <a:uFillTx/>
            <a:latin typeface="Helvetica"/>
            <a:ea typeface="Helvetica"/>
            <a:cs typeface="Helvetica"/>
            <a:sym typeface="Helvetica"/>
          </a:endParaRPr>
        </a:p>
        <a:p>
          <a:pPr marL="0" marR="0" indent="0" algn="l" defTabSz="12700" latinLnBrk="0">
            <a:lnSpc>
              <a:spcPct val="135000"/>
            </a:lnSpc>
            <a:spcBef>
              <a:spcPts val="0"/>
            </a:spcBef>
            <a:spcAft>
              <a:spcPts val="0"/>
            </a:spcAft>
            <a:buClrTx/>
            <a:buSzTx/>
            <a:buFontTx/>
            <a:buNone/>
            <a:defRPr sz="1400" b="0" i="0" u="none" strike="noStrike" cap="none" spc="0" baseline="0">
              <a:solidFill>
                <a:srgbClr val="111111"/>
              </a:solidFill>
              <a:uFillTx/>
              <a:latin typeface="Helvetica"/>
              <a:ea typeface="Helvetica"/>
              <a:cs typeface="Helvetica"/>
              <a:sym typeface="Helvetica"/>
            </a:defRPr>
          </a:pPr>
          <a:r>
            <a:rPr sz="1400" b="0" i="0" u="none" strike="noStrike" cap="none" spc="0" baseline="0">
              <a:solidFill>
                <a:srgbClr val="111111"/>
              </a:solidFill>
              <a:uFillTx/>
              <a:latin typeface="Helvetica"/>
              <a:ea typeface="Helvetica"/>
              <a:cs typeface="Helvetica"/>
              <a:sym typeface="Helvetica"/>
            </a:rPr>
            <a:t>Para ello, deberás incorporar los </a:t>
          </a:r>
          <a:r>
            <a:rPr sz="1400" b="1" i="0" u="none" strike="noStrike" cap="none" spc="0" baseline="0">
              <a:solidFill>
                <a:srgbClr val="111111"/>
              </a:solidFill>
              <a:uFillTx/>
              <a:latin typeface="Helvetica"/>
              <a:ea typeface="Helvetica"/>
              <a:cs typeface="Helvetica"/>
              <a:sym typeface="Helvetica"/>
            </a:rPr>
            <a:t>Gastos Totales</a:t>
          </a:r>
          <a:r>
            <a:rPr sz="1400" b="0" i="0" u="none" strike="noStrike" cap="none" spc="0" baseline="0">
              <a:solidFill>
                <a:srgbClr val="111111"/>
              </a:solidFill>
              <a:uFillTx/>
              <a:latin typeface="Helvetica"/>
              <a:ea typeface="Helvetica"/>
              <a:cs typeface="Helvetica"/>
              <a:sym typeface="Helvetica"/>
            </a:rPr>
            <a:t> obtenidos en esta tabla dentro de la fila </a:t>
          </a:r>
          <a:r>
            <a:rPr sz="1400" b="1" i="1" u="none" strike="noStrike" cap="none" spc="0" baseline="0">
              <a:solidFill>
                <a:srgbClr val="111111"/>
              </a:solidFill>
              <a:uFillTx/>
              <a:latin typeface="+mn-lt"/>
              <a:ea typeface="+mn-ea"/>
              <a:cs typeface="+mn-cs"/>
              <a:sym typeface="Helvetica Neue"/>
            </a:rPr>
            <a:t>Otros Gastos </a:t>
          </a:r>
          <a:r>
            <a:rPr sz="1400" b="1" i="0" u="none" strike="noStrike" cap="none" spc="0" baseline="0">
              <a:solidFill>
                <a:srgbClr val="111111"/>
              </a:solidFill>
              <a:uFillTx/>
              <a:latin typeface="+mn-lt"/>
              <a:ea typeface="+mn-ea"/>
              <a:cs typeface="+mn-cs"/>
              <a:sym typeface="Helvetica Neue"/>
            </a:rPr>
            <a:t>de la Tabla de Previsiones</a:t>
          </a:r>
          <a:r>
            <a:rPr sz="1400" b="1" i="0" u="none" strike="noStrike" cap="none" spc="0" baseline="0">
              <a:solidFill>
                <a:srgbClr val="111111"/>
              </a:solidFill>
              <a:uFillTx/>
              <a:latin typeface="Helvetica"/>
              <a:ea typeface="Helvetica"/>
              <a:cs typeface="Helvetica"/>
              <a:sym typeface="Helvetica"/>
            </a:rPr>
            <a:t>, </a:t>
          </a:r>
          <a:r>
            <a:rPr sz="1400" b="0" i="0" u="none" strike="noStrike" cap="none" spc="0" baseline="0">
              <a:solidFill>
                <a:srgbClr val="111111"/>
              </a:solidFill>
              <a:uFillTx/>
              <a:latin typeface="Helvetica"/>
              <a:ea typeface="Helvetica"/>
              <a:cs typeface="Helvetica"/>
              <a:sym typeface="Helvetica"/>
            </a:rPr>
            <a:t>descontando los </a:t>
          </a:r>
          <a:r>
            <a:rPr sz="1400" b="1" i="0" u="none" strike="noStrike" cap="none" spc="0" baseline="0">
              <a:solidFill>
                <a:srgbClr val="111111"/>
              </a:solidFill>
              <a:uFillTx/>
              <a:latin typeface="+mn-lt"/>
              <a:ea typeface="+mn-ea"/>
              <a:cs typeface="+mn-cs"/>
              <a:sym typeface="Helvetica Neue"/>
            </a:rPr>
            <a:t>Gastos Iniciales</a:t>
          </a:r>
          <a:r>
            <a:rPr sz="1400" b="0" i="0" u="none" strike="noStrike" cap="none" spc="0" baseline="0">
              <a:solidFill>
                <a:srgbClr val="111111"/>
              </a:solidFill>
              <a:uFillTx/>
              <a:latin typeface="Helvetica"/>
              <a:ea typeface="Helvetica"/>
              <a:cs typeface="Helvetica"/>
              <a:sym typeface="Helvetica"/>
            </a:rPr>
            <a:t>, que ya se contemplan de forma general en dicha tabla.</a:t>
          </a: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sz="1400" b="0" i="0" u="none" strike="noStrike" cap="none" spc="0" baseline="0">
            <a:solidFill>
              <a:srgbClr val="000000"/>
            </a:solidFill>
            <a:uFillTx/>
            <a:latin typeface="+mn-lt"/>
            <a:ea typeface="+mn-ea"/>
            <a:cs typeface="+mn-cs"/>
            <a:sym typeface="Helvetica Neue"/>
          </a:endParaRP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Los importes recogidos en esta tabla corresponden a los gastos necesarios para la puesta en funcionamiento del inmueble. En la Tabla de Previsiones de Ingresos por Arrendamiento, estos gastos pueden imputarse íntegramente al primer año para obtener una visión conservadora de la operación, o bien prorratearse a lo largo de la vida útil del inmueble o del préstamo hipotecario, con el fin de analizar la rentabilidad media a largo plazo. Ambos enfoques son válidos y responden a objetivos distintos de análisis.</a:t>
          </a: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sz="1400" b="0" i="0" u="none" strike="noStrike" cap="none" spc="0" baseline="0">
            <a:solidFill>
              <a:srgbClr val="000000"/>
            </a:solidFill>
            <a:uFillTx/>
            <a:latin typeface="+mn-lt"/>
            <a:ea typeface="+mn-ea"/>
            <a:cs typeface="+mn-cs"/>
            <a:sym typeface="Helvetica Neue"/>
          </a:endParaRPr>
        </a:p>
        <a:p>
          <a:pPr marL="0" marR="0" indent="0" algn="l" defTabSz="12700" latinLnBrk="0">
            <a:lnSpc>
              <a:spcPct val="135000"/>
            </a:lnSpc>
            <a:spcBef>
              <a:spcPts val="0"/>
            </a:spcBef>
            <a:spcAft>
              <a:spcPts val="0"/>
            </a:spcAft>
            <a:buClrTx/>
            <a:buSzTx/>
            <a:buFontTx/>
            <a:buNone/>
            <a:defRPr sz="1400" b="0" i="0" u="none" strike="noStrike" cap="none" spc="0" baseline="0">
              <a:solidFill>
                <a:srgbClr val="111111"/>
              </a:solidFill>
              <a:uFillTx/>
              <a:latin typeface="Helvetica"/>
              <a:ea typeface="Helvetica"/>
              <a:cs typeface="Helvetica"/>
              <a:sym typeface="Helvetica"/>
            </a:defRPr>
          </a:pPr>
          <a:r>
            <a:rPr sz="1400" b="0" i="0" u="none" strike="noStrike" cap="none" spc="0" baseline="0">
              <a:solidFill>
                <a:srgbClr val="111111"/>
              </a:solidFill>
              <a:uFillTx/>
              <a:latin typeface="Helvetica"/>
              <a:ea typeface="Helvetica"/>
              <a:cs typeface="Helvetica"/>
              <a:sym typeface="Helvetica"/>
            </a:rPr>
            <a:t>En cualquier caso, es importante tener en cuenta que estos gastos deben diferenciarse de los </a:t>
          </a:r>
          <a:r>
            <a:rPr sz="1400" b="1" i="0" u="none" strike="noStrike" cap="none" spc="0" baseline="0">
              <a:solidFill>
                <a:srgbClr val="111111"/>
              </a:solidFill>
              <a:uFillTx/>
              <a:latin typeface="+mn-lt"/>
              <a:ea typeface="+mn-ea"/>
              <a:cs typeface="+mn-cs"/>
              <a:sym typeface="Helvetica Neue"/>
            </a:rPr>
            <a:t>gastos fijos anuales</a:t>
          </a:r>
          <a:r>
            <a:rPr sz="1400" b="0" i="0" u="none" strike="noStrike" cap="none" spc="0" baseline="0">
              <a:solidFill>
                <a:srgbClr val="111111"/>
              </a:solidFill>
              <a:uFillTx/>
              <a:latin typeface="Helvetica"/>
              <a:ea typeface="Helvetica"/>
              <a:cs typeface="Helvetica"/>
              <a:sym typeface="Helvetica"/>
            </a:rPr>
            <a:t>, que sí se repiten cada ejercicio y deben incorporarse de forma recurrente en el cálculo de la rentabilidad.</a:t>
          </a: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sz="1400" b="0" i="0" u="none" strike="noStrike" cap="none" spc="0" baseline="0">
            <a:solidFill>
              <a:srgbClr val="000000"/>
            </a:solidFill>
            <a:uFillTx/>
            <a:latin typeface="+mn-lt"/>
            <a:ea typeface="+mn-ea"/>
            <a:cs typeface="+mn-cs"/>
            <a:sym typeface="Helvetica Neue"/>
          </a:endParaRP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Por ello, cuando se opte por un criterio de prorrateo, la forma correcta de incorporar estos importes en la fila </a:t>
          </a:r>
          <a:r>
            <a:rPr sz="1400" b="0" i="1" u="none" strike="noStrike" cap="none" spc="0" baseline="0">
              <a:solidFill>
                <a:srgbClr val="000000"/>
              </a:solidFill>
              <a:uFillTx/>
              <a:latin typeface="+mn-lt"/>
              <a:ea typeface="+mn-ea"/>
              <a:cs typeface="+mn-cs"/>
              <a:sym typeface="Helvetica Neue"/>
            </a:rPr>
            <a:t>Otros Gastos</a:t>
          </a:r>
          <a:r>
            <a:rPr sz="1400" b="0" i="0" u="none" strike="noStrike" cap="none" spc="0" baseline="0">
              <a:solidFill>
                <a:srgbClr val="000000"/>
              </a:solidFill>
              <a:uFillTx/>
              <a:latin typeface="+mn-lt"/>
              <a:ea typeface="+mn-ea"/>
              <a:cs typeface="+mn-cs"/>
              <a:sym typeface="Helvetica Neue"/>
            </a:rPr>
            <a:t> sería la siguiente:</a:t>
          </a:r>
        </a:p>
        <a:p>
          <a:pPr marL="0" marR="0" indent="0" algn="l" defTabSz="12700" latinLnBrk="0">
            <a:lnSpc>
              <a:spcPct val="135000"/>
            </a:lnSpc>
            <a:spcBef>
              <a:spcPts val="0"/>
            </a:spcBef>
            <a:spcAft>
              <a:spcPts val="0"/>
            </a:spcAft>
            <a:buClrTx/>
            <a:buSzTx/>
            <a:buFontTx/>
            <a:buNone/>
            <a:defRPr sz="1400" b="0" i="0" u="none" strike="noStrike" cap="none" spc="0" baseline="0">
              <a:solidFill>
                <a:srgbClr val="111111"/>
              </a:solidFill>
              <a:uFillTx/>
              <a:latin typeface="Helvetica"/>
              <a:ea typeface="Helvetica"/>
              <a:cs typeface="Helvetica"/>
              <a:sym typeface="Helvetica"/>
            </a:defRPr>
          </a:pPr>
          <a:endParaRPr sz="1400" b="0" i="0" u="none" strike="noStrike" cap="none" spc="0" baseline="0">
            <a:solidFill>
              <a:srgbClr val="111111"/>
            </a:solidFill>
            <a:uFillTx/>
            <a:latin typeface="Helvetica"/>
            <a:ea typeface="Helvetica"/>
            <a:cs typeface="Helvetica"/>
            <a:sym typeface="Helvetica"/>
          </a:endParaRPr>
        </a:p>
        <a:p>
          <a:pPr marL="0" marR="0" lvl="1" indent="457200" algn="l" defTabSz="12700" latinLnBrk="0">
            <a:lnSpc>
              <a:spcPct val="135000"/>
            </a:lnSpc>
            <a:spcBef>
              <a:spcPts val="0"/>
            </a:spcBef>
            <a:spcAft>
              <a:spcPts val="0"/>
            </a:spcAft>
            <a:buClrTx/>
            <a:buSzTx/>
            <a:buFontTx/>
            <a:buNone/>
            <a:defRPr sz="1400" b="1" i="0" u="none" strike="noStrike" cap="none" spc="0" baseline="0">
              <a:solidFill>
                <a:srgbClr val="111111"/>
              </a:solidFill>
              <a:uFillTx/>
              <a:latin typeface="Helvetica"/>
              <a:ea typeface="Helvetica"/>
              <a:cs typeface="Helvetica"/>
              <a:sym typeface="Helvetica"/>
            </a:defRPr>
          </a:pPr>
          <a:r>
            <a:rPr sz="1400" b="1" i="0" u="none" strike="noStrike" cap="none" spc="0" baseline="0">
              <a:solidFill>
                <a:srgbClr val="111111"/>
              </a:solidFill>
              <a:uFillTx/>
              <a:latin typeface="Helvetica"/>
              <a:ea typeface="Helvetica"/>
              <a:cs typeface="Helvetica"/>
              <a:sym typeface="Helvetica"/>
            </a:rPr>
            <a:t>(Gastos Totales - Gastos Iniciales) / vida útil del inmueble o del préstamo hipotecario + Gastos fijos anuales</a:t>
          </a: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sz="1400" b="0" i="0" u="none" strike="noStrike" cap="none" spc="0" baseline="0">
            <a:solidFill>
              <a:srgbClr val="000000"/>
            </a:solidFill>
            <a:uFillTx/>
            <a:latin typeface="+mn-lt"/>
            <a:ea typeface="+mn-ea"/>
            <a:cs typeface="+mn-cs"/>
            <a:sym typeface="Helvetica Neue"/>
          </a:endParaRP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Los datos recogidos aquí constituyen la base para estimar con mayor realismo:</a:t>
          </a: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sz="1400" b="0" i="0" u="none" strike="noStrike" cap="none" spc="0" baseline="0">
            <a:solidFill>
              <a:srgbClr val="000000"/>
            </a:solidFill>
            <a:uFillTx/>
            <a:latin typeface="+mn-lt"/>
            <a:ea typeface="+mn-ea"/>
            <a:cs typeface="+mn-cs"/>
            <a:sym typeface="Helvetica Neue"/>
          </a:endParaRPr>
        </a:p>
        <a:p>
          <a:pPr marL="558800" marR="0" lvl="3" indent="-139700" algn="just" defTabSz="457200" latinLnBrk="0">
            <a:lnSpc>
              <a:spcPct val="100000"/>
            </a:lnSpc>
            <a:spcBef>
              <a:spcPts val="0"/>
            </a:spcBef>
            <a:spcAft>
              <a:spcPts val="0"/>
            </a:spcAft>
            <a:buClrTx/>
            <a:buSzPct val="100000"/>
            <a:buFontTx/>
            <a:buChar char="•"/>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los ingresos por alquiler,</a:t>
          </a:r>
        </a:p>
        <a:p>
          <a:pPr marL="558800" marR="0" lvl="3" indent="-139700" algn="just" defTabSz="457200" latinLnBrk="0">
            <a:lnSpc>
              <a:spcPct val="100000"/>
            </a:lnSpc>
            <a:spcBef>
              <a:spcPts val="0"/>
            </a:spcBef>
            <a:spcAft>
              <a:spcPts val="0"/>
            </a:spcAft>
            <a:buClrTx/>
            <a:buSzPct val="100000"/>
            <a:buFontTx/>
            <a:buChar char="•"/>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los gastos recurrentes,</a:t>
          </a:r>
        </a:p>
        <a:p>
          <a:pPr marL="558800" marR="0" lvl="3" indent="-139700" algn="just" defTabSz="457200" latinLnBrk="0">
            <a:lnSpc>
              <a:spcPct val="100000"/>
            </a:lnSpc>
            <a:spcBef>
              <a:spcPts val="0"/>
            </a:spcBef>
            <a:spcAft>
              <a:spcPts val="0"/>
            </a:spcAft>
            <a:buClrTx/>
            <a:buSzPct val="100000"/>
            <a:buFontTx/>
            <a:buChar char="•"/>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el beneficio mensual y anual,</a:t>
          </a:r>
        </a:p>
        <a:p>
          <a:pPr marL="558800" marR="0" lvl="3" indent="-139700" algn="just" defTabSz="457200" latinLnBrk="0">
            <a:lnSpc>
              <a:spcPct val="100000"/>
            </a:lnSpc>
            <a:spcBef>
              <a:spcPts val="0"/>
            </a:spcBef>
            <a:spcAft>
              <a:spcPts val="0"/>
            </a:spcAft>
            <a:buClrTx/>
            <a:buSzPct val="100000"/>
            <a:buFontTx/>
            <a:buChar char="•"/>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y las distintas rentabilidades de la operación.</a:t>
          </a: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sz="1400" b="0" i="0" u="none" strike="noStrike" cap="none" spc="0" baseline="0">
            <a:solidFill>
              <a:srgbClr val="000000"/>
            </a:solidFill>
            <a:uFillTx/>
            <a:latin typeface="+mn-lt"/>
            <a:ea typeface="+mn-ea"/>
            <a:cs typeface="+mn-cs"/>
            <a:sym typeface="Helvetica Neue"/>
          </a:endParaRPr>
        </a:p>
        <a:p>
          <a:pPr marL="0" marR="0" indent="0" algn="just"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r>
            <a:rPr sz="1400" b="0" i="0" u="none" strike="noStrike" cap="none" spc="0" baseline="0">
              <a:solidFill>
                <a:srgbClr val="000000"/>
              </a:solidFill>
              <a:uFillTx/>
              <a:latin typeface="+mn-lt"/>
              <a:ea typeface="+mn-ea"/>
              <a:cs typeface="+mn-cs"/>
              <a:sym typeface="Helvetica Neue"/>
            </a:rPr>
            <a:t>De este modo, esta tabla sirve como </a:t>
          </a:r>
          <a:r>
            <a:rPr sz="1400" b="1" i="0" u="none" strike="noStrike" cap="none" spc="0" baseline="0">
              <a:solidFill>
                <a:srgbClr val="000000"/>
              </a:solidFill>
              <a:uFillTx/>
              <a:latin typeface="+mn-lt"/>
              <a:ea typeface="+mn-ea"/>
              <a:cs typeface="+mn-cs"/>
              <a:sym typeface="Helvetica Neue"/>
            </a:rPr>
            <a:t>base económica real</a:t>
          </a:r>
          <a:r>
            <a:rPr sz="1400" b="0" i="0" u="none" strike="noStrike" cap="none" spc="0" baseline="0">
              <a:solidFill>
                <a:srgbClr val="000000"/>
              </a:solidFill>
              <a:uFillTx/>
              <a:latin typeface="+mn-lt"/>
              <a:ea typeface="+mn-ea"/>
              <a:cs typeface="+mn-cs"/>
              <a:sym typeface="Helvetica Neue"/>
            </a:rPr>
            <a:t>, mientras que la Tabla de Previsiones se convierte en la herramienta de decisión financiera. En conjunto, forman un sistema sencillo pero potente para </a:t>
          </a:r>
          <a:r>
            <a:rPr sz="1400" b="1" i="0" u="none" strike="noStrike" cap="none" spc="0" baseline="0">
              <a:solidFill>
                <a:srgbClr val="000000"/>
              </a:solidFill>
              <a:uFillTx/>
              <a:latin typeface="+mn-lt"/>
              <a:ea typeface="+mn-ea"/>
              <a:cs typeface="+mn-cs"/>
              <a:sym typeface="Helvetica Neue"/>
            </a:rPr>
            <a:t>analizar, decidir y gestionar inmuebles </a:t>
          </a:r>
          <a:r>
            <a:rPr sz="1400" b="0" i="0" u="none" strike="noStrike" cap="none" spc="0" baseline="0">
              <a:solidFill>
                <a:srgbClr val="000000"/>
              </a:solidFill>
              <a:uFillTx/>
              <a:latin typeface="+mn-lt"/>
              <a:ea typeface="+mn-ea"/>
              <a:cs typeface="+mn-cs"/>
              <a:sym typeface="Helvetica Neue"/>
            </a:rPr>
            <a:t>con criterio profesional.</a:t>
          </a:r>
        </a:p>
        <a:p>
          <a:pPr marL="0" marR="0" indent="0" algn="l" defTabSz="457200" latinLnBrk="0">
            <a:lnSpc>
              <a:spcPct val="100000"/>
            </a:lnSpc>
            <a:spcBef>
              <a:spcPts val="0"/>
            </a:spcBef>
            <a:spcAft>
              <a:spcPts val="0"/>
            </a:spcAft>
            <a:buClrTx/>
            <a:buSzTx/>
            <a:buFontTx/>
            <a:buNone/>
            <a:defRPr sz="1400" b="0" i="0" u="none" strike="noStrike" cap="none" spc="0" baseline="0">
              <a:solidFill>
                <a:srgbClr val="000000"/>
              </a:solidFill>
              <a:uFillTx/>
              <a:latin typeface="+mn-lt"/>
              <a:ea typeface="+mn-ea"/>
              <a:cs typeface="+mn-cs"/>
              <a:sym typeface="Helvetica Neue"/>
            </a:defRPr>
          </a:pPr>
          <a:endParaRPr sz="1400" b="0" i="0" u="none" strike="noStrike" cap="none" spc="0" baseline="0">
            <a:solidFill>
              <a:srgbClr val="000000"/>
            </a:solidFill>
            <a:uFillTx/>
            <a:latin typeface="+mn-lt"/>
            <a:ea typeface="+mn-ea"/>
            <a:cs typeface="+mn-cs"/>
            <a:sym typeface="Helvetica Neue"/>
          </a:endParaRPr>
        </a:p>
        <a:p>
          <a:pPr marL="0" marR="0" indent="0" algn="just" defTabSz="12700" latinLnBrk="0">
            <a:lnSpc>
              <a:spcPct val="100000"/>
            </a:lnSpc>
            <a:spcBef>
              <a:spcPts val="0"/>
            </a:spcBef>
            <a:spcAft>
              <a:spcPts val="0"/>
            </a:spcAft>
            <a:buClrTx/>
            <a:buSzTx/>
            <a:buFontTx/>
            <a:buNone/>
            <a:defRPr sz="1400" b="0" i="0" u="none" strike="noStrike" cap="none" spc="0" baseline="0">
              <a:solidFill>
                <a:srgbClr val="000000"/>
              </a:solidFill>
              <a:uFillTx/>
              <a:latin typeface="Helvetica"/>
              <a:ea typeface="Helvetica"/>
              <a:cs typeface="Helvetica"/>
              <a:sym typeface="Helvetica"/>
            </a:defRPr>
          </a:pPr>
          <a:r>
            <a:rPr sz="1400" b="0" i="0" u="none" strike="noStrike" cap="none" spc="0" baseline="0">
              <a:solidFill>
                <a:srgbClr val="000000"/>
              </a:solidFill>
              <a:uFillTx/>
              <a:latin typeface="Helvetica"/>
              <a:ea typeface="Helvetica"/>
              <a:cs typeface="Helvetica"/>
              <a:sym typeface="Helvetica"/>
            </a:rPr>
            <a:t>¡Espero que te resulte útil!</a:t>
          </a:r>
        </a:p>
      </xdr:txBody>
    </xdr:sp>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unegocioinmobiliario.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79"/>
  <sheetViews>
    <sheetView showGridLines="0" tabSelected="1" zoomScale="64" workbookViewId="0">
      <pane xSplit="3" ySplit="5" topLeftCell="D49" activePane="bottomRight" state="frozen"/>
      <selection pane="topRight"/>
      <selection pane="bottomLeft"/>
      <selection pane="bottomRight" activeCell="J21" sqref="J21"/>
    </sheetView>
  </sheetViews>
  <sheetFormatPr baseColWidth="10" defaultColWidth="16.33203125" defaultRowHeight="20" customHeight="1" x14ac:dyDescent="0.15"/>
  <cols>
    <col min="1" max="1" width="3.1640625" style="1" customWidth="1"/>
    <col min="2" max="2" width="27.5" style="1" customWidth="1"/>
    <col min="3" max="3" width="39.83203125" style="1" customWidth="1"/>
    <col min="4" max="7" width="16.33203125" style="1" customWidth="1"/>
    <col min="8" max="16384" width="16.33203125" style="1"/>
  </cols>
  <sheetData>
    <row r="1" spans="2:8" ht="21" customHeight="1" x14ac:dyDescent="0.15">
      <c r="B1" s="31" t="s">
        <v>73</v>
      </c>
      <c r="C1" s="32"/>
    </row>
    <row r="2" spans="2:8" ht="17" customHeight="1" x14ac:dyDescent="0.15">
      <c r="B2" s="32"/>
      <c r="C2" s="32"/>
    </row>
    <row r="3" spans="2:8" ht="1" customHeight="1" x14ac:dyDescent="0.15">
      <c r="B3" s="22"/>
    </row>
    <row r="4" spans="2:8" ht="39" customHeight="1" thickBot="1" x14ac:dyDescent="0.2">
      <c r="B4" s="33"/>
      <c r="C4" s="33"/>
      <c r="D4" s="33"/>
      <c r="E4" s="33"/>
      <c r="F4" s="33"/>
    </row>
    <row r="5" spans="2:8" ht="47" customHeight="1" thickBot="1" x14ac:dyDescent="0.2">
      <c r="B5" s="41" t="s">
        <v>0</v>
      </c>
      <c r="C5" s="42"/>
      <c r="D5" s="23" t="s">
        <v>1</v>
      </c>
      <c r="E5" s="23" t="s">
        <v>2</v>
      </c>
      <c r="F5" s="23" t="s">
        <v>3</v>
      </c>
      <c r="G5" s="23" t="s">
        <v>75</v>
      </c>
      <c r="H5" s="23" t="s">
        <v>76</v>
      </c>
    </row>
    <row r="6" spans="2:8" ht="32.75" customHeight="1" x14ac:dyDescent="0.15">
      <c r="B6" s="38" t="s">
        <v>4</v>
      </c>
      <c r="C6" s="2" t="s">
        <v>5</v>
      </c>
      <c r="D6" s="24"/>
      <c r="E6" s="24"/>
      <c r="F6" s="24"/>
      <c r="G6" s="24"/>
      <c r="H6" s="24"/>
    </row>
    <row r="7" spans="2:8" ht="32" customHeight="1" x14ac:dyDescent="0.15">
      <c r="B7" s="39"/>
      <c r="C7" s="3" t="s">
        <v>6</v>
      </c>
      <c r="D7" s="25"/>
      <c r="E7" s="26"/>
      <c r="F7" s="25"/>
      <c r="G7" s="25"/>
      <c r="H7" s="25"/>
    </row>
    <row r="8" spans="2:8" ht="20" customHeight="1" x14ac:dyDescent="0.15">
      <c r="B8" s="39"/>
      <c r="C8" s="3" t="s">
        <v>7</v>
      </c>
      <c r="D8" s="25"/>
      <c r="E8" s="25"/>
      <c r="F8" s="25"/>
      <c r="G8" s="25"/>
      <c r="H8" s="25"/>
    </row>
    <row r="9" spans="2:8" ht="20" customHeight="1" x14ac:dyDescent="0.15">
      <c r="B9" s="39"/>
      <c r="C9" s="3" t="s">
        <v>8</v>
      </c>
      <c r="D9" s="25"/>
      <c r="E9" s="25"/>
      <c r="F9" s="25"/>
      <c r="G9" s="25"/>
      <c r="H9" s="25"/>
    </row>
    <row r="10" spans="2:8" ht="20.5" customHeight="1" x14ac:dyDescent="0.15">
      <c r="B10" s="39"/>
      <c r="C10" s="4" t="s">
        <v>9</v>
      </c>
      <c r="D10" s="25"/>
      <c r="E10" s="25"/>
      <c r="F10" s="25"/>
      <c r="G10" s="25"/>
      <c r="H10" s="25"/>
    </row>
    <row r="11" spans="2:8" ht="20.75" customHeight="1" x14ac:dyDescent="0.15">
      <c r="B11" s="39"/>
      <c r="C11" s="5" t="s">
        <v>10</v>
      </c>
      <c r="D11" s="25"/>
      <c r="E11" s="25"/>
      <c r="F11" s="25"/>
      <c r="G11" s="25"/>
      <c r="H11" s="25"/>
    </row>
    <row r="12" spans="2:8" ht="32.75" customHeight="1" x14ac:dyDescent="0.15">
      <c r="B12" s="39"/>
      <c r="C12" s="5" t="s">
        <v>11</v>
      </c>
      <c r="D12" s="25"/>
      <c r="E12" s="25"/>
      <c r="F12" s="25"/>
      <c r="G12" s="25"/>
      <c r="H12" s="25"/>
    </row>
    <row r="13" spans="2:8" ht="20.75" customHeight="1" x14ac:dyDescent="0.15">
      <c r="B13" s="39"/>
      <c r="C13" s="5" t="s">
        <v>12</v>
      </c>
      <c r="D13" s="25"/>
      <c r="E13" s="25"/>
      <c r="F13" s="25"/>
      <c r="G13" s="25"/>
      <c r="H13" s="25"/>
    </row>
    <row r="14" spans="2:8" ht="20.75" customHeight="1" x14ac:dyDescent="0.15">
      <c r="B14" s="39"/>
      <c r="C14" s="5" t="s">
        <v>13</v>
      </c>
      <c r="D14" s="25"/>
      <c r="E14" s="25"/>
      <c r="F14" s="25"/>
      <c r="G14" s="25"/>
      <c r="H14" s="25"/>
    </row>
    <row r="15" spans="2:8" ht="20.75" customHeight="1" x14ac:dyDescent="0.15">
      <c r="B15" s="39"/>
      <c r="C15" s="5" t="s">
        <v>14</v>
      </c>
      <c r="D15" s="25"/>
      <c r="E15" s="25"/>
      <c r="F15" s="25"/>
      <c r="G15" s="25"/>
      <c r="H15" s="25"/>
    </row>
    <row r="16" spans="2:8" ht="21.25" customHeight="1" thickBot="1" x14ac:dyDescent="0.2">
      <c r="B16" s="40"/>
      <c r="C16" s="6" t="s">
        <v>15</v>
      </c>
      <c r="D16" s="27"/>
      <c r="E16" s="27"/>
      <c r="F16" s="27"/>
      <c r="G16" s="27"/>
      <c r="H16" s="27"/>
    </row>
    <row r="17" spans="2:8" ht="21.75" customHeight="1" thickBot="1" x14ac:dyDescent="0.2">
      <c r="B17" s="37"/>
      <c r="C17" s="7" t="s">
        <v>16</v>
      </c>
      <c r="D17" s="46" cm="1">
        <f t="array" ref="D17">SUM(D6:D15)+D16</f>
        <v>0</v>
      </c>
      <c r="E17" s="46" cm="1">
        <f t="array" ref="E17">SUM(E6:E15)+E16</f>
        <v>0</v>
      </c>
      <c r="F17" s="46" cm="1">
        <f t="array" ref="F17">SUM(F6:F15)+F16</f>
        <v>0</v>
      </c>
      <c r="G17" s="46" cm="1">
        <f t="array" ref="G17">SUM(G6:G15)+G16</f>
        <v>0</v>
      </c>
      <c r="H17" s="46" cm="1">
        <f t="array" ref="H17">SUM(H6:H15)+H16</f>
        <v>0</v>
      </c>
    </row>
    <row r="18" spans="2:8" ht="21.25" customHeight="1" x14ac:dyDescent="0.15">
      <c r="B18" s="34" t="s">
        <v>17</v>
      </c>
      <c r="C18" s="8" t="s">
        <v>18</v>
      </c>
      <c r="D18" s="24"/>
      <c r="E18" s="24"/>
      <c r="F18" s="24"/>
      <c r="G18" s="24"/>
      <c r="H18" s="24"/>
    </row>
    <row r="19" spans="2:8" ht="20.75" customHeight="1" x14ac:dyDescent="0.15">
      <c r="B19" s="35"/>
      <c r="C19" s="5" t="s">
        <v>19</v>
      </c>
      <c r="D19" s="25"/>
      <c r="E19" s="25"/>
      <c r="F19" s="25"/>
      <c r="G19" s="25"/>
      <c r="H19" s="25"/>
    </row>
    <row r="20" spans="2:8" ht="20.75" customHeight="1" x14ac:dyDescent="0.15">
      <c r="B20" s="35"/>
      <c r="C20" s="5" t="s">
        <v>20</v>
      </c>
      <c r="D20" s="25"/>
      <c r="E20" s="25"/>
      <c r="F20" s="25"/>
      <c r="G20" s="25"/>
      <c r="H20" s="25"/>
    </row>
    <row r="21" spans="2:8" ht="20.5" customHeight="1" x14ac:dyDescent="0.15">
      <c r="B21" s="35"/>
      <c r="C21" s="9" t="s">
        <v>21</v>
      </c>
      <c r="D21" s="25"/>
      <c r="E21" s="25"/>
      <c r="F21" s="25"/>
      <c r="G21" s="25"/>
      <c r="H21" s="25"/>
    </row>
    <row r="22" spans="2:8" ht="20.75" customHeight="1" thickBot="1" x14ac:dyDescent="0.2">
      <c r="B22" s="36"/>
      <c r="C22" s="10" t="s">
        <v>22</v>
      </c>
      <c r="D22" s="27"/>
      <c r="E22" s="27"/>
      <c r="F22" s="27"/>
      <c r="G22" s="27"/>
      <c r="H22" s="27"/>
    </row>
    <row r="23" spans="2:8" ht="21.75" customHeight="1" thickBot="1" x14ac:dyDescent="0.2">
      <c r="B23" s="37"/>
      <c r="C23" s="7" t="s">
        <v>16</v>
      </c>
      <c r="D23" s="46" cm="1">
        <f t="array" ref="D23">D18+D19+D20+D21+D22</f>
        <v>0</v>
      </c>
      <c r="E23" s="46" cm="1">
        <f t="array" ref="E23">E18+E19+E20+E21+E22</f>
        <v>0</v>
      </c>
      <c r="F23" s="46" cm="1">
        <f t="array" ref="F23">F18+F19+F20+F21+F22</f>
        <v>0</v>
      </c>
      <c r="G23" s="46" cm="1">
        <f t="array" ref="G23">G18+G19+G20+G21+G22</f>
        <v>0</v>
      </c>
      <c r="H23" s="46" cm="1">
        <f t="array" ref="H23">H18+H19+H20+H21+H22</f>
        <v>0</v>
      </c>
    </row>
    <row r="24" spans="2:8" ht="20.75" customHeight="1" x14ac:dyDescent="0.15">
      <c r="B24" s="34" t="s">
        <v>23</v>
      </c>
      <c r="C24" s="2" t="s">
        <v>24</v>
      </c>
      <c r="D24" s="24"/>
      <c r="E24" s="24"/>
      <c r="F24" s="24"/>
      <c r="G24" s="24"/>
      <c r="H24" s="24"/>
    </row>
    <row r="25" spans="2:8" ht="20" customHeight="1" x14ac:dyDescent="0.15">
      <c r="B25" s="35"/>
      <c r="C25" s="3" t="s">
        <v>25</v>
      </c>
      <c r="D25" s="25"/>
      <c r="E25" s="25"/>
      <c r="F25" s="25"/>
      <c r="G25" s="25"/>
      <c r="H25" s="25"/>
    </row>
    <row r="26" spans="2:8" ht="32" customHeight="1" x14ac:dyDescent="0.15">
      <c r="B26" s="35"/>
      <c r="C26" s="3" t="s">
        <v>26</v>
      </c>
      <c r="D26" s="25"/>
      <c r="E26" s="25"/>
      <c r="F26" s="25"/>
      <c r="G26" s="25"/>
      <c r="H26" s="25"/>
    </row>
    <row r="27" spans="2:8" ht="20" customHeight="1" x14ac:dyDescent="0.15">
      <c r="B27" s="35"/>
      <c r="C27" s="3" t="s">
        <v>27</v>
      </c>
      <c r="D27" s="25"/>
      <c r="E27" s="25"/>
      <c r="F27" s="25"/>
      <c r="G27" s="25"/>
      <c r="H27" s="25"/>
    </row>
    <row r="28" spans="2:8" ht="20" customHeight="1" x14ac:dyDescent="0.15">
      <c r="B28" s="35"/>
      <c r="C28" s="3" t="s">
        <v>28</v>
      </c>
      <c r="D28" s="25"/>
      <c r="E28" s="25"/>
      <c r="F28" s="25"/>
      <c r="G28" s="25"/>
      <c r="H28" s="25"/>
    </row>
    <row r="29" spans="2:8" ht="20" customHeight="1" x14ac:dyDescent="0.15">
      <c r="B29" s="35"/>
      <c r="C29" s="11" t="s">
        <v>29</v>
      </c>
      <c r="D29" s="25"/>
      <c r="E29" s="25"/>
      <c r="F29" s="25"/>
      <c r="G29" s="25"/>
      <c r="H29" s="25"/>
    </row>
    <row r="30" spans="2:8" ht="20.75" customHeight="1" thickBot="1" x14ac:dyDescent="0.2">
      <c r="B30" s="36"/>
      <c r="C30" s="10" t="s">
        <v>15</v>
      </c>
      <c r="D30" s="27"/>
      <c r="E30" s="27"/>
      <c r="F30" s="27"/>
      <c r="G30" s="27"/>
      <c r="H30" s="27"/>
    </row>
    <row r="31" spans="2:8" ht="21.75" customHeight="1" thickBot="1" x14ac:dyDescent="0.2">
      <c r="B31" s="37"/>
      <c r="C31" s="7" t="s">
        <v>16</v>
      </c>
      <c r="D31" s="46" cm="1">
        <f t="array" ref="D31">D29+D28+D27+D26+D25+D24+D30</f>
        <v>0</v>
      </c>
      <c r="E31" s="46" cm="1">
        <f t="array" ref="E31">E29+E28+E27+E26+E25+E24+E30</f>
        <v>0</v>
      </c>
      <c r="F31" s="46" cm="1">
        <f t="array" ref="F31">F29+F28+F27+F26+F25+F24+F30</f>
        <v>0</v>
      </c>
      <c r="G31" s="46" cm="1">
        <f t="array" ref="G31">G29+G28+G27+G26+G25+G24+G30</f>
        <v>0</v>
      </c>
      <c r="H31" s="46" cm="1">
        <f t="array" ref="H31">H29+H28+H27+H26+H25+H24+H30</f>
        <v>0</v>
      </c>
    </row>
    <row r="32" spans="2:8" ht="21.25" customHeight="1" x14ac:dyDescent="0.15">
      <c r="B32" s="34" t="s">
        <v>30</v>
      </c>
      <c r="C32" s="8" t="s">
        <v>31</v>
      </c>
      <c r="D32" s="24"/>
      <c r="E32" s="24"/>
      <c r="F32" s="24"/>
      <c r="G32" s="24"/>
      <c r="H32" s="24"/>
    </row>
    <row r="33" spans="2:8" ht="20.75" customHeight="1" x14ac:dyDescent="0.15">
      <c r="B33" s="35"/>
      <c r="C33" s="5" t="s">
        <v>32</v>
      </c>
      <c r="D33" s="25"/>
      <c r="E33" s="25"/>
      <c r="F33" s="25"/>
      <c r="G33" s="25"/>
      <c r="H33" s="25"/>
    </row>
    <row r="34" spans="2:8" ht="20.75" customHeight="1" x14ac:dyDescent="0.15">
      <c r="B34" s="35"/>
      <c r="C34" s="5" t="s">
        <v>33</v>
      </c>
      <c r="D34" s="25"/>
      <c r="E34" s="25"/>
      <c r="F34" s="25"/>
      <c r="G34" s="25"/>
      <c r="H34" s="25"/>
    </row>
    <row r="35" spans="2:8" ht="20.75" customHeight="1" x14ac:dyDescent="0.15">
      <c r="B35" s="35"/>
      <c r="C35" s="5" t="s">
        <v>34</v>
      </c>
      <c r="D35" s="25"/>
      <c r="E35" s="25"/>
      <c r="F35" s="25"/>
      <c r="G35" s="25"/>
      <c r="H35" s="25"/>
    </row>
    <row r="36" spans="2:8" ht="20.75" customHeight="1" x14ac:dyDescent="0.15">
      <c r="B36" s="35"/>
      <c r="C36" s="5" t="s">
        <v>35</v>
      </c>
      <c r="D36" s="25"/>
      <c r="E36" s="25"/>
      <c r="F36" s="25"/>
      <c r="G36" s="25"/>
      <c r="H36" s="25"/>
    </row>
    <row r="37" spans="2:8" ht="20.75" customHeight="1" x14ac:dyDescent="0.15">
      <c r="B37" s="35"/>
      <c r="C37" s="5" t="s">
        <v>36</v>
      </c>
      <c r="D37" s="25"/>
      <c r="E37" s="25"/>
      <c r="F37" s="25"/>
      <c r="G37" s="25"/>
      <c r="H37" s="25"/>
    </row>
    <row r="38" spans="2:8" ht="20.75" customHeight="1" x14ac:dyDescent="0.15">
      <c r="B38" s="35"/>
      <c r="C38" s="5" t="s">
        <v>37</v>
      </c>
      <c r="D38" s="25"/>
      <c r="E38" s="25"/>
      <c r="F38" s="25"/>
      <c r="G38" s="25"/>
      <c r="H38" s="25"/>
    </row>
    <row r="39" spans="2:8" ht="20.5" customHeight="1" x14ac:dyDescent="0.15">
      <c r="B39" s="35"/>
      <c r="C39" s="12" t="s">
        <v>38</v>
      </c>
      <c r="D39" s="25"/>
      <c r="E39" s="25"/>
      <c r="F39" s="25"/>
      <c r="G39" s="25"/>
      <c r="H39" s="25"/>
    </row>
    <row r="40" spans="2:8" ht="20" customHeight="1" x14ac:dyDescent="0.15">
      <c r="B40" s="35"/>
      <c r="C40" s="13" t="s">
        <v>39</v>
      </c>
      <c r="D40" s="25"/>
      <c r="E40" s="25"/>
      <c r="F40" s="25"/>
      <c r="G40" s="25"/>
      <c r="H40" s="25"/>
    </row>
    <row r="41" spans="2:8" ht="20.25" customHeight="1" x14ac:dyDescent="0.15">
      <c r="B41" s="35"/>
      <c r="C41" s="4" t="s">
        <v>40</v>
      </c>
      <c r="D41" s="25"/>
      <c r="E41" s="25"/>
      <c r="F41" s="25"/>
      <c r="G41" s="25"/>
      <c r="H41" s="25"/>
    </row>
    <row r="42" spans="2:8" ht="20.75" customHeight="1" x14ac:dyDescent="0.15">
      <c r="B42" s="35"/>
      <c r="C42" s="5" t="s">
        <v>41</v>
      </c>
      <c r="D42" s="25"/>
      <c r="E42" s="25"/>
      <c r="F42" s="25"/>
      <c r="G42" s="25"/>
      <c r="H42" s="25"/>
    </row>
    <row r="43" spans="2:8" ht="21.25" customHeight="1" thickBot="1" x14ac:dyDescent="0.2">
      <c r="B43" s="36"/>
      <c r="C43" s="6" t="s">
        <v>15</v>
      </c>
      <c r="D43" s="27"/>
      <c r="E43" s="27"/>
      <c r="F43" s="27"/>
      <c r="G43" s="27"/>
      <c r="H43" s="27"/>
    </row>
    <row r="44" spans="2:8" ht="21.75" customHeight="1" thickBot="1" x14ac:dyDescent="0.2">
      <c r="B44" s="37"/>
      <c r="C44" s="7" t="s">
        <v>16</v>
      </c>
      <c r="D44" s="46" cm="1">
        <f t="array" ref="D44">D42+D41+D40+D39+D38+D37+D36+D35+D34+D33+D32+D43</f>
        <v>0</v>
      </c>
      <c r="E44" s="46" cm="1">
        <f t="array" ref="E44">E42+E41+E40+E39+E38+E37+E36+E35+E34+E33+E32+E43</f>
        <v>0</v>
      </c>
      <c r="F44" s="46" cm="1">
        <f t="array" ref="F44">F42+F41+F40+F39+F38+F37+F36+F35+F34+F33+F32+F43</f>
        <v>0</v>
      </c>
      <c r="G44" s="46" cm="1">
        <f t="array" ref="G44">G42+G41+G40+G39+G38+G37+G36+G35+G34+G33+G32+G43</f>
        <v>0</v>
      </c>
      <c r="H44" s="46" cm="1">
        <f t="array" ref="H44">H42+H41+H40+H39+H38+H37+H36+H35+H34+H33+H32+H43</f>
        <v>0</v>
      </c>
    </row>
    <row r="45" spans="2:8" ht="20.75" customHeight="1" x14ac:dyDescent="0.15">
      <c r="B45" s="34" t="s">
        <v>42</v>
      </c>
      <c r="C45" s="14" t="s">
        <v>43</v>
      </c>
      <c r="D45" s="24"/>
      <c r="E45" s="24"/>
      <c r="F45" s="24"/>
      <c r="G45" s="24"/>
      <c r="H45" s="24"/>
    </row>
    <row r="46" spans="2:8" ht="20" customHeight="1" x14ac:dyDescent="0.15">
      <c r="B46" s="35"/>
      <c r="C46" s="15" t="s">
        <v>44</v>
      </c>
      <c r="D46" s="25"/>
      <c r="E46" s="25"/>
      <c r="F46" s="25"/>
      <c r="G46" s="25"/>
      <c r="H46" s="25"/>
    </row>
    <row r="47" spans="2:8" ht="20" customHeight="1" x14ac:dyDescent="0.15">
      <c r="B47" s="35"/>
      <c r="C47" s="16" t="s">
        <v>45</v>
      </c>
      <c r="D47" s="25"/>
      <c r="E47" s="25"/>
      <c r="F47" s="25"/>
      <c r="G47" s="25"/>
      <c r="H47" s="25"/>
    </row>
    <row r="48" spans="2:8" ht="20" customHeight="1" x14ac:dyDescent="0.15">
      <c r="B48" s="35"/>
      <c r="C48" s="3" t="s">
        <v>46</v>
      </c>
      <c r="D48" s="25"/>
      <c r="E48" s="25"/>
      <c r="F48" s="25"/>
      <c r="G48" s="25"/>
      <c r="H48" s="25"/>
    </row>
    <row r="49" spans="2:8" ht="20" customHeight="1" x14ac:dyDescent="0.15">
      <c r="B49" s="35"/>
      <c r="C49" s="3" t="s">
        <v>47</v>
      </c>
      <c r="D49" s="25"/>
      <c r="E49" s="25"/>
      <c r="F49" s="25"/>
      <c r="G49" s="25"/>
      <c r="H49" s="25"/>
    </row>
    <row r="50" spans="2:8" ht="20" customHeight="1" x14ac:dyDescent="0.15">
      <c r="B50" s="35"/>
      <c r="C50" s="3" t="s">
        <v>48</v>
      </c>
      <c r="D50" s="25"/>
      <c r="E50" s="25"/>
      <c r="F50" s="25"/>
      <c r="G50" s="25"/>
      <c r="H50" s="25"/>
    </row>
    <row r="51" spans="2:8" ht="20" customHeight="1" x14ac:dyDescent="0.15">
      <c r="B51" s="35"/>
      <c r="C51" s="11" t="s">
        <v>49</v>
      </c>
      <c r="D51" s="25"/>
      <c r="E51" s="25"/>
      <c r="F51" s="25"/>
      <c r="G51" s="25"/>
      <c r="H51" s="25"/>
    </row>
    <row r="52" spans="2:8" ht="20" customHeight="1" x14ac:dyDescent="0.15">
      <c r="B52" s="43"/>
      <c r="C52" s="11" t="s">
        <v>50</v>
      </c>
      <c r="D52" s="25"/>
      <c r="E52" s="25"/>
      <c r="F52" s="25"/>
      <c r="G52" s="25"/>
      <c r="H52" s="25"/>
    </row>
    <row r="53" spans="2:8" ht="20" customHeight="1" x14ac:dyDescent="0.15">
      <c r="B53" s="44"/>
      <c r="C53" s="3" t="s">
        <v>51</v>
      </c>
      <c r="D53" s="25"/>
      <c r="E53" s="25"/>
      <c r="F53" s="25"/>
      <c r="G53" s="25"/>
      <c r="H53" s="25"/>
    </row>
    <row r="54" spans="2:8" ht="20" customHeight="1" x14ac:dyDescent="0.15">
      <c r="B54" s="39"/>
      <c r="C54" s="3" t="s">
        <v>52</v>
      </c>
      <c r="D54" s="25"/>
      <c r="E54" s="25"/>
      <c r="F54" s="25"/>
      <c r="G54" s="25"/>
      <c r="H54" s="25"/>
    </row>
    <row r="55" spans="2:8" ht="20" customHeight="1" x14ac:dyDescent="0.15">
      <c r="B55" s="39"/>
      <c r="C55" s="3" t="s">
        <v>53</v>
      </c>
      <c r="D55" s="25"/>
      <c r="E55" s="25"/>
      <c r="F55" s="25"/>
      <c r="G55" s="25"/>
      <c r="H55" s="25"/>
    </row>
    <row r="56" spans="2:8" ht="20" customHeight="1" x14ac:dyDescent="0.15">
      <c r="B56" s="39"/>
      <c r="C56" s="3" t="s">
        <v>54</v>
      </c>
      <c r="D56" s="25"/>
      <c r="E56" s="25"/>
      <c r="F56" s="25"/>
      <c r="G56" s="25"/>
      <c r="H56" s="25"/>
    </row>
    <row r="57" spans="2:8" ht="20" customHeight="1" x14ac:dyDescent="0.15">
      <c r="B57" s="39"/>
      <c r="C57" s="3" t="s">
        <v>55</v>
      </c>
      <c r="D57" s="25"/>
      <c r="E57" s="25"/>
      <c r="F57" s="25"/>
      <c r="G57" s="25"/>
      <c r="H57" s="25"/>
    </row>
    <row r="58" spans="2:8" ht="20" customHeight="1" x14ac:dyDescent="0.15">
      <c r="B58" s="39"/>
      <c r="C58" s="3" t="s">
        <v>56</v>
      </c>
      <c r="D58" s="25"/>
      <c r="E58" s="25"/>
      <c r="F58" s="25"/>
      <c r="G58" s="25"/>
      <c r="H58" s="25"/>
    </row>
    <row r="59" spans="2:8" ht="20" customHeight="1" x14ac:dyDescent="0.15">
      <c r="B59" s="39"/>
      <c r="C59" s="3" t="s">
        <v>57</v>
      </c>
      <c r="D59" s="25"/>
      <c r="E59" s="25"/>
      <c r="F59" s="25"/>
      <c r="G59" s="25"/>
      <c r="H59" s="25"/>
    </row>
    <row r="60" spans="2:8" ht="20" customHeight="1" x14ac:dyDescent="0.15">
      <c r="B60" s="39"/>
      <c r="C60" s="3" t="s">
        <v>58</v>
      </c>
      <c r="D60" s="25"/>
      <c r="E60" s="25"/>
      <c r="F60" s="25"/>
      <c r="G60" s="25"/>
      <c r="H60" s="25"/>
    </row>
    <row r="61" spans="2:8" ht="20.75" customHeight="1" thickBot="1" x14ac:dyDescent="0.2">
      <c r="B61" s="40"/>
      <c r="C61" s="17" t="s">
        <v>15</v>
      </c>
      <c r="D61" s="27"/>
      <c r="E61" s="27"/>
      <c r="F61" s="27"/>
      <c r="G61" s="27"/>
      <c r="H61" s="27"/>
    </row>
    <row r="62" spans="2:8" ht="21.75" customHeight="1" thickBot="1" x14ac:dyDescent="0.2">
      <c r="B62" s="37"/>
      <c r="C62" s="7" t="s">
        <v>16</v>
      </c>
      <c r="D62" s="46">
        <f>SUM(D45:D61)</f>
        <v>0</v>
      </c>
      <c r="E62" s="46" cm="1">
        <f t="array" ref="E62">E61+E60+E59+E58+E57+E56+E55+E54+E53+E52+E51+E50+E49+E48+E47+E46+E45</f>
        <v>0</v>
      </c>
      <c r="F62" s="46" cm="1">
        <f t="array" ref="F62">F61+F60+F59+F58+F57+F56+F55+F54+F53+F52+F51+F50+F49+F48+F47+F46+F45</f>
        <v>0</v>
      </c>
      <c r="G62" s="46" cm="1">
        <f t="array" ref="G62">G61+G60+G59+G58+G57+G56+G55+G54+G53+G52+G51+G50+G49+G48+G47+G46+G45</f>
        <v>0</v>
      </c>
      <c r="H62" s="46" cm="1">
        <f t="array" ref="H62">H61+H60+H59+H58+H57+H56+H55+H54+H53+H52+H51+H50+H49+H48+H47+H46+H45</f>
        <v>0</v>
      </c>
    </row>
    <row r="63" spans="2:8" ht="20.75" customHeight="1" x14ac:dyDescent="0.15">
      <c r="B63" s="38" t="s">
        <v>59</v>
      </c>
      <c r="C63" s="2" t="s">
        <v>60</v>
      </c>
      <c r="D63" s="24"/>
      <c r="E63" s="24"/>
      <c r="F63" s="24"/>
      <c r="G63" s="24"/>
      <c r="H63" s="24"/>
    </row>
    <row r="64" spans="2:8" ht="20" customHeight="1" x14ac:dyDescent="0.15">
      <c r="B64" s="39"/>
      <c r="C64" s="3" t="s">
        <v>61</v>
      </c>
      <c r="D64" s="25"/>
      <c r="E64" s="25"/>
      <c r="F64" s="25"/>
      <c r="G64" s="25"/>
      <c r="H64" s="25"/>
    </row>
    <row r="65" spans="2:8" ht="20" customHeight="1" x14ac:dyDescent="0.15">
      <c r="B65" s="39"/>
      <c r="C65" s="3" t="s">
        <v>62</v>
      </c>
      <c r="D65" s="25"/>
      <c r="E65" s="25"/>
      <c r="F65" s="25"/>
      <c r="G65" s="25"/>
      <c r="H65" s="25"/>
    </row>
    <row r="66" spans="2:8" ht="20" customHeight="1" x14ac:dyDescent="0.15">
      <c r="B66" s="39"/>
      <c r="C66" s="3" t="s">
        <v>63</v>
      </c>
      <c r="D66" s="25"/>
      <c r="E66" s="25"/>
      <c r="F66" s="25"/>
      <c r="G66" s="25"/>
      <c r="H66" s="25"/>
    </row>
    <row r="67" spans="2:8" ht="20" customHeight="1" x14ac:dyDescent="0.15">
      <c r="B67" s="39"/>
      <c r="C67" s="3" t="s">
        <v>64</v>
      </c>
      <c r="D67" s="25"/>
      <c r="E67" s="25"/>
      <c r="F67" s="28"/>
      <c r="G67" s="28"/>
      <c r="H67" s="28"/>
    </row>
    <row r="68" spans="2:8" ht="20.75" customHeight="1" thickBot="1" x14ac:dyDescent="0.2">
      <c r="B68" s="40"/>
      <c r="C68" s="17" t="s">
        <v>15</v>
      </c>
      <c r="D68" s="27"/>
      <c r="E68" s="27"/>
      <c r="F68" s="27"/>
      <c r="G68" s="27"/>
      <c r="H68" s="27"/>
    </row>
    <row r="69" spans="2:8" ht="21.75" customHeight="1" thickBot="1" x14ac:dyDescent="0.2">
      <c r="B69" s="37"/>
      <c r="C69" s="7" t="s">
        <v>16</v>
      </c>
      <c r="D69" s="46" cm="1">
        <f t="array" ref="D69">D68+D67+D66+D65+D64+D63</f>
        <v>0</v>
      </c>
      <c r="E69" s="46" cm="1">
        <f t="array" ref="E69">E68+E67+E66+E65+E64+E63</f>
        <v>0</v>
      </c>
      <c r="F69" s="46" cm="1">
        <f t="array" ref="F69">F68+F67+F66+F65+F64+F63</f>
        <v>0</v>
      </c>
      <c r="G69" s="46" cm="1">
        <f t="array" ref="G69">G68+G67+G66+G65+G64+G63</f>
        <v>0</v>
      </c>
      <c r="H69" s="46" cm="1">
        <f t="array" ref="H69">H68+H67+H66+H65+H64+H63</f>
        <v>0</v>
      </c>
    </row>
    <row r="70" spans="2:8" ht="20.75" customHeight="1" x14ac:dyDescent="0.15">
      <c r="B70" s="38" t="s">
        <v>65</v>
      </c>
      <c r="C70" s="2" t="s">
        <v>66</v>
      </c>
      <c r="D70" s="24"/>
      <c r="E70" s="24"/>
      <c r="F70" s="24"/>
      <c r="G70" s="24"/>
      <c r="H70" s="24"/>
    </row>
    <row r="71" spans="2:8" ht="20" customHeight="1" x14ac:dyDescent="0.15">
      <c r="B71" s="39"/>
      <c r="C71" s="3" t="s">
        <v>67</v>
      </c>
      <c r="D71" s="25"/>
      <c r="E71" s="25"/>
      <c r="F71" s="25"/>
      <c r="G71" s="25"/>
      <c r="H71" s="25"/>
    </row>
    <row r="72" spans="2:8" ht="20" customHeight="1" x14ac:dyDescent="0.15">
      <c r="B72" s="39"/>
      <c r="C72" s="3" t="s">
        <v>68</v>
      </c>
      <c r="D72" s="25"/>
      <c r="E72" s="25"/>
      <c r="F72" s="25"/>
      <c r="G72" s="25"/>
      <c r="H72" s="25"/>
    </row>
    <row r="73" spans="2:8" ht="20" customHeight="1" x14ac:dyDescent="0.15">
      <c r="B73" s="39"/>
      <c r="C73" s="3" t="s">
        <v>69</v>
      </c>
      <c r="D73" s="25"/>
      <c r="E73" s="25"/>
      <c r="F73" s="25"/>
      <c r="G73" s="25"/>
      <c r="H73" s="25"/>
    </row>
    <row r="74" spans="2:8" ht="20" customHeight="1" thickBot="1" x14ac:dyDescent="0.2">
      <c r="B74" s="39"/>
      <c r="C74" s="19" t="s">
        <v>70</v>
      </c>
      <c r="D74" s="29"/>
      <c r="E74" s="29"/>
      <c r="F74" s="29"/>
      <c r="G74" s="29"/>
      <c r="H74" s="29"/>
    </row>
    <row r="75" spans="2:8" ht="20.75" customHeight="1" thickBot="1" x14ac:dyDescent="0.2">
      <c r="B75" s="45"/>
      <c r="C75" s="21" t="s">
        <v>16</v>
      </c>
      <c r="D75" s="47">
        <f>SUM(D70:D74)</f>
        <v>0</v>
      </c>
      <c r="E75" s="47">
        <f>SUM(E70:E74)</f>
        <v>0</v>
      </c>
      <c r="F75" s="48">
        <f>SUM(F70:F74)</f>
        <v>0</v>
      </c>
      <c r="G75" s="48">
        <f>SUM(G70:G74)</f>
        <v>0</v>
      </c>
      <c r="H75" s="48">
        <f>SUM(H70:H74)</f>
        <v>0</v>
      </c>
    </row>
    <row r="76" spans="2:8" ht="20.75" customHeight="1" x14ac:dyDescent="0.15">
      <c r="B76" s="38" t="s">
        <v>71</v>
      </c>
      <c r="C76" s="20" t="s">
        <v>72</v>
      </c>
      <c r="D76" s="30"/>
      <c r="E76" s="30"/>
      <c r="F76" s="30"/>
      <c r="G76" s="30"/>
      <c r="H76" s="30"/>
    </row>
    <row r="77" spans="2:8" ht="20.75" customHeight="1" thickBot="1" x14ac:dyDescent="0.2">
      <c r="B77" s="40"/>
      <c r="C77" s="17" t="s">
        <v>15</v>
      </c>
      <c r="D77" s="27"/>
      <c r="E77" s="27"/>
      <c r="F77" s="27"/>
      <c r="G77" s="27"/>
      <c r="H77" s="27"/>
    </row>
    <row r="78" spans="2:8" ht="21.75" customHeight="1" thickBot="1" x14ac:dyDescent="0.2">
      <c r="B78" s="37"/>
      <c r="C78" s="7" t="s">
        <v>16</v>
      </c>
      <c r="D78" s="46" cm="1">
        <f t="array" ref="D78">D77+D76</f>
        <v>0</v>
      </c>
      <c r="E78" s="46" cm="1">
        <f t="array" ref="E78">E77+E76</f>
        <v>0</v>
      </c>
      <c r="F78" s="46" cm="1">
        <f t="array" ref="F78">F77+F76</f>
        <v>0</v>
      </c>
      <c r="G78" s="46" cm="1">
        <f t="array" ref="G78">G77+G76</f>
        <v>0</v>
      </c>
      <c r="H78" s="46" cm="1">
        <f t="array" ref="H78">H77+H76</f>
        <v>0</v>
      </c>
    </row>
    <row r="79" spans="2:8" ht="21.75" customHeight="1" thickBot="1" x14ac:dyDescent="0.2">
      <c r="B79" s="41" t="s">
        <v>74</v>
      </c>
      <c r="C79" s="37"/>
      <c r="D79" s="18">
        <f>SUM(D78,D75,D69,D62,D44,D31,D23,D17)</f>
        <v>0</v>
      </c>
      <c r="E79" s="18">
        <f>SUM(E78,E75,E69,E62,E44,E31,E23,E17)</f>
        <v>0</v>
      </c>
      <c r="F79" s="18">
        <f>SUM(F78,F75,F69,F62,F44,F31,F23,F17)</f>
        <v>0</v>
      </c>
      <c r="G79" s="18">
        <f>SUM(G78,G75,G69,G62,G44,G31,G23,G17)</f>
        <v>0</v>
      </c>
      <c r="H79" s="18">
        <f>SUM(H78,H75,H69,H62,H44,H31,H23,H17)</f>
        <v>0</v>
      </c>
    </row>
  </sheetData>
  <sheetProtection algorithmName="SHA-512" hashValue="xaLnUjUvDfQDan0XQ9qkIP5uQI2NpadTSP9R3D9eR2/Ng7BIowv1wjPztuhteHEHNjfMrUaKL7eGyM2y4I6GHA==" saltValue="g9fdKwd3x7EUltjesm01AQ==" spinCount="100000" sheet="1" objects="1" scenarios="1"/>
  <mergeCells count="12">
    <mergeCell ref="B79:C79"/>
    <mergeCell ref="B32:B44"/>
    <mergeCell ref="B5:C5"/>
    <mergeCell ref="B45:B62"/>
    <mergeCell ref="B63:B69"/>
    <mergeCell ref="B76:B78"/>
    <mergeCell ref="B70:B75"/>
    <mergeCell ref="B1:C2"/>
    <mergeCell ref="B4:F4"/>
    <mergeCell ref="B24:B31"/>
    <mergeCell ref="B18:B23"/>
    <mergeCell ref="B6:B17"/>
  </mergeCells>
  <hyperlinks>
    <hyperlink ref="B1" r:id="rId1" xr:uid="{DFD44FFC-8882-424C-8755-ECB51F93D3B2}"/>
  </hyperlinks>
  <pageMargins left="0.5" right="0.5" top="0.75" bottom="0.75" header="0.27777800000000002" footer="0.27777800000000002"/>
  <pageSetup scale="72"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CA28F-1602-AB4D-8C2D-55F958AE03E7}">
  <dimension ref="A1"/>
  <sheetViews>
    <sheetView showGridLines="0" topLeftCell="A2" zoomScale="75" workbookViewId="0">
      <selection activeCell="E90" sqref="E90"/>
    </sheetView>
  </sheetViews>
  <sheetFormatPr baseColWidth="10" defaultRowHeight="13" x14ac:dyDescent="0.15"/>
  <sheetData/>
  <sheetProtection algorithmName="SHA-512" hashValue="bAwgbw5cqx7slVKwga3Mu6OaOjAIXsTrnlC5DoNXJlsKXVdPD6Lff9Cm591M3jhYBezu70SuMnOv8ldzhPOgHA==" saltValue="kLTNel2I7WgBoIhTCWYmAQ=="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TABLA DE GASTOS INICIALES</vt:lpstr>
      <vt:lpstr>Explicación de la tabla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Joaquin I. Molina Rodríguez</cp:lastModifiedBy>
  <dcterms:modified xsi:type="dcterms:W3CDTF">2025-12-17T20:38:39Z</dcterms:modified>
</cp:coreProperties>
</file>