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aquini.molinarodriguez/Library/Mobile Documents/com~apple~CloudDocs/ 1. Inmuebles (copia 12:10:25)/0. Tablas, Guías y Contratos /1.  TU NEGOCIO INMOBILIARIO/2. Recursos/2. Tablas/Tablas excell/"/>
    </mc:Choice>
  </mc:AlternateContent>
  <xr:revisionPtr revIDLastSave="0" documentId="13_ncr:1_{8FCB4976-A7F0-4446-90F5-85C4455EA221}" xr6:coauthVersionLast="47" xr6:coauthVersionMax="47" xr10:uidLastSave="{00000000-0000-0000-0000-000000000000}"/>
  <bookViews>
    <workbookView xWindow="0" yWindow="540" windowWidth="20480" windowHeight="12720" xr2:uid="{00000000-000D-0000-FFFF-FFFF00000000}"/>
  </bookViews>
  <sheets>
    <sheet name="CÁLCULOS REALISTAS" sheetId="2" r:id="rId1"/>
    <sheet name="CÁLCULOS HIPOTÉTICOS" sheetId="3" r:id="rId2"/>
    <sheet name="Explicación de las tabla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3" l="1" a="1"/>
  <c r="H23" i="3" s="1"/>
  <c r="H19" i="3" a="1"/>
  <c r="H19" i="3" s="1"/>
  <c r="H16" i="3" a="1"/>
  <c r="H16" i="3" s="1"/>
  <c r="H9" i="3" a="1"/>
  <c r="H9" i="3" s="1"/>
  <c r="G23" i="3" a="1"/>
  <c r="G23" i="3" s="1"/>
  <c r="G19" i="3" a="1"/>
  <c r="G19" i="3" s="1"/>
  <c r="G16" i="3" a="1"/>
  <c r="G16" i="3" s="1"/>
  <c r="G9" i="3" a="1"/>
  <c r="G9" i="3" s="1"/>
  <c r="H23" i="2" a="1"/>
  <c r="H23" i="2" s="1"/>
  <c r="H19" i="2" a="1"/>
  <c r="H19" i="2" s="1"/>
  <c r="H16" i="2" a="1"/>
  <c r="H16" i="2" s="1"/>
  <c r="H9" i="2" a="1"/>
  <c r="H9" i="2" s="1"/>
  <c r="G23" i="2" a="1"/>
  <c r="G23" i="2" s="1"/>
  <c r="G19" i="2" a="1"/>
  <c r="G19" i="2" s="1"/>
  <c r="G16" i="2" a="1"/>
  <c r="G16" i="2" s="1"/>
  <c r="G17" i="2" s="1" a="1"/>
  <c r="G17" i="2" s="1"/>
  <c r="G28" i="2" s="1" a="1"/>
  <c r="G28" i="2" s="1"/>
  <c r="G29" i="2" s="1" a="1"/>
  <c r="G29" i="2" s="1"/>
  <c r="G9" i="2" a="1"/>
  <c r="G9" i="2" s="1"/>
  <c r="D22" i="2"/>
  <c r="F23" i="3" a="1"/>
  <c r="F23" i="3" s="1"/>
  <c r="E23" i="3" a="1"/>
  <c r="E23" i="3" s="1"/>
  <c r="D23" i="3" a="1"/>
  <c r="D23" i="3" s="1"/>
  <c r="F19" i="3" a="1"/>
  <c r="F19" i="3" s="1"/>
  <c r="F24" i="3" s="1" a="1"/>
  <c r="F24" i="3" s="1"/>
  <c r="E19" i="3" a="1"/>
  <c r="E19" i="3" s="1"/>
  <c r="D19" i="3" a="1"/>
  <c r="D19" i="3" s="1"/>
  <c r="F16" i="3" a="1"/>
  <c r="F16" i="3" s="1"/>
  <c r="E16" i="3" a="1"/>
  <c r="E16" i="3" s="1"/>
  <c r="D16" i="3" a="1"/>
  <c r="D16" i="3" s="1"/>
  <c r="F9" i="3" a="1"/>
  <c r="F9" i="3" s="1"/>
  <c r="E9" i="3" a="1"/>
  <c r="E9" i="3" s="1"/>
  <c r="D9" i="3" a="1"/>
  <c r="D9" i="3" s="1"/>
  <c r="F23" i="2" a="1"/>
  <c r="F23" i="2" s="1"/>
  <c r="E23" i="2" a="1"/>
  <c r="E23" i="2" s="1"/>
  <c r="D23" i="2" a="1"/>
  <c r="D23" i="2" s="1"/>
  <c r="F19" i="2" a="1"/>
  <c r="F19" i="2" s="1"/>
  <c r="F26" i="2" s="1" a="1"/>
  <c r="F26" i="2" s="1"/>
  <c r="E19" i="2" a="1"/>
  <c r="E19" i="2" s="1"/>
  <c r="E24" i="2" s="1" a="1"/>
  <c r="E24" i="2" s="1"/>
  <c r="D19" i="2" a="1"/>
  <c r="D19" i="2" s="1"/>
  <c r="D30" i="2" s="1" a="1"/>
  <c r="D30" i="2" s="1"/>
  <c r="F16" i="2" a="1"/>
  <c r="F16" i="2" s="1"/>
  <c r="E16" i="2" a="1"/>
  <c r="E16" i="2" s="1"/>
  <c r="D16" i="2" a="1"/>
  <c r="D16" i="2" s="1"/>
  <c r="F9" i="2" a="1"/>
  <c r="F9" i="2" s="1"/>
  <c r="E9" i="2" a="1"/>
  <c r="E9" i="2" s="1"/>
  <c r="D9" i="2" a="1"/>
  <c r="D9" i="2" s="1"/>
  <c r="H17" i="3" l="1" a="1"/>
  <c r="H17" i="3" s="1"/>
  <c r="H28" i="3" s="1" a="1"/>
  <c r="H28" i="3" s="1"/>
  <c r="H29" i="3" s="1" a="1"/>
  <c r="H29" i="3" s="1"/>
  <c r="H27" i="3" a="1"/>
  <c r="H27" i="3" s="1"/>
  <c r="H25" i="3" a="1"/>
  <c r="H25" i="3" s="1"/>
  <c r="H26" i="3" a="1"/>
  <c r="H26" i="3" s="1"/>
  <c r="H21" i="3" a="1"/>
  <c r="H21" i="3" s="1"/>
  <c r="H30" i="3" a="1"/>
  <c r="H30" i="3" s="1"/>
  <c r="H31" i="3" s="1" a="1"/>
  <c r="H31" i="3" s="1"/>
  <c r="H24" i="3" a="1"/>
  <c r="H24" i="3" s="1"/>
  <c r="H20" i="3" a="1"/>
  <c r="H20" i="3" s="1"/>
  <c r="G17" i="3" a="1"/>
  <c r="G17" i="3" s="1"/>
  <c r="G28" i="3" s="1" a="1"/>
  <c r="G28" i="3" s="1"/>
  <c r="G29" i="3" s="1" a="1"/>
  <c r="G29" i="3" s="1"/>
  <c r="G21" i="3" a="1"/>
  <c r="G21" i="3" s="1"/>
  <c r="G25" i="3" a="1"/>
  <c r="G25" i="3" s="1"/>
  <c r="G24" i="3" a="1"/>
  <c r="G24" i="3" s="1"/>
  <c r="G27" i="3" a="1"/>
  <c r="G27" i="3" s="1"/>
  <c r="G26" i="3" a="1"/>
  <c r="G26" i="3" s="1"/>
  <c r="G20" i="3" a="1"/>
  <c r="G20" i="3" s="1"/>
  <c r="G30" i="3" a="1"/>
  <c r="G30" i="3" s="1"/>
  <c r="G31" i="3" s="1" a="1"/>
  <c r="G31" i="3" s="1"/>
  <c r="H17" i="2" a="1"/>
  <c r="H17" i="2" s="1"/>
  <c r="H28" i="2" s="1" a="1"/>
  <c r="H28" i="2" s="1"/>
  <c r="H29" i="2" s="1" a="1"/>
  <c r="H29" i="2" s="1"/>
  <c r="H27" i="2" a="1"/>
  <c r="H27" i="2" s="1"/>
  <c r="H26" i="2" a="1"/>
  <c r="H26" i="2" s="1"/>
  <c r="H21" i="2" a="1"/>
  <c r="H21" i="2" s="1"/>
  <c r="H25" i="2" a="1"/>
  <c r="H25" i="2" s="1"/>
  <c r="H20" i="2" a="1"/>
  <c r="H20" i="2" s="1"/>
  <c r="H24" i="2" a="1"/>
  <c r="H24" i="2" s="1"/>
  <c r="H30" i="2" a="1"/>
  <c r="H30" i="2" s="1"/>
  <c r="H31" i="2" s="1" a="1"/>
  <c r="H31" i="2" s="1"/>
  <c r="G21" i="2" a="1"/>
  <c r="G21" i="2" s="1"/>
  <c r="G25" i="2" a="1"/>
  <c r="G25" i="2" s="1"/>
  <c r="G20" i="2" a="1"/>
  <c r="G20" i="2" s="1"/>
  <c r="G24" i="2" a="1"/>
  <c r="G24" i="2" s="1"/>
  <c r="G27" i="2" a="1"/>
  <c r="G27" i="2" s="1"/>
  <c r="G26" i="2" a="1"/>
  <c r="G26" i="2" s="1"/>
  <c r="G30" i="2" a="1"/>
  <c r="G30" i="2" s="1"/>
  <c r="G31" i="2" s="1" a="1"/>
  <c r="G31" i="2" s="1"/>
  <c r="E17" i="3" a="1"/>
  <c r="E17" i="3" s="1"/>
  <c r="E25" i="3" s="1" a="1"/>
  <c r="E25" i="3" s="1"/>
  <c r="D17" i="3" a="1"/>
  <c r="D17" i="3" s="1"/>
  <c r="D28" i="3" s="1" a="1"/>
  <c r="D28" i="3" s="1"/>
  <c r="F17" i="3" a="1"/>
  <c r="F17" i="3" s="1"/>
  <c r="F27" i="3" s="1" a="1"/>
  <c r="F27" i="3" s="1"/>
  <c r="E26" i="3" a="1"/>
  <c r="E26" i="3" s="1"/>
  <c r="F17" i="2" a="1"/>
  <c r="F17" i="2" s="1"/>
  <c r="F20" i="2" s="1" a="1"/>
  <c r="F20" i="2" s="1"/>
  <c r="E17" i="2" a="1"/>
  <c r="E17" i="2" s="1"/>
  <c r="E20" i="2" s="1" a="1"/>
  <c r="E20" i="2" s="1"/>
  <c r="D17" i="2" a="1"/>
  <c r="D17" i="2" s="1"/>
  <c r="D28" i="2" s="1" a="1"/>
  <c r="D28" i="2" s="1"/>
  <c r="D31" i="2" a="1"/>
  <c r="D31" i="2" s="1"/>
  <c r="E30" i="2" a="1"/>
  <c r="E30" i="2" s="1"/>
  <c r="D26" i="3" a="1"/>
  <c r="D26" i="3" s="1"/>
  <c r="D30" i="3" a="1"/>
  <c r="D30" i="3" s="1"/>
  <c r="D24" i="3" a="1"/>
  <c r="D24" i="3" s="1"/>
  <c r="D21" i="3" a="1"/>
  <c r="D21" i="3" s="1"/>
  <c r="E27" i="3" a="1"/>
  <c r="E27" i="3" s="1"/>
  <c r="F26" i="3" a="1"/>
  <c r="F26" i="3" s="1"/>
  <c r="F24" i="2" a="1"/>
  <c r="F24" i="2" s="1"/>
  <c r="E26" i="2" a="1"/>
  <c r="E26" i="2" s="1"/>
  <c r="D24" i="2" a="1"/>
  <c r="D24" i="2" s="1"/>
  <c r="E24" i="3" a="1"/>
  <c r="E24" i="3" s="1"/>
  <c r="D26" i="2" a="1"/>
  <c r="D26" i="2" s="1"/>
  <c r="E21" i="3" a="1"/>
  <c r="E21" i="3" s="1"/>
  <c r="E22" i="3" s="1" a="1"/>
  <c r="E22" i="3" s="1"/>
  <c r="H32" i="3" l="1" a="1"/>
  <c r="H32" i="3" s="1"/>
  <c r="H33" i="3" s="1" a="1"/>
  <c r="H33" i="3" s="1"/>
  <c r="H22" i="3" a="1"/>
  <c r="H22" i="3" s="1"/>
  <c r="G22" i="3" a="1"/>
  <c r="G22" i="3" s="1"/>
  <c r="G32" i="3" a="1"/>
  <c r="G32" i="3" s="1"/>
  <c r="G33" i="3" s="1" a="1"/>
  <c r="G33" i="3" s="1"/>
  <c r="H22" i="2" a="1"/>
  <c r="H22" i="2" s="1"/>
  <c r="G32" i="2" a="1"/>
  <c r="G32" i="2" s="1"/>
  <c r="G33" i="2" s="1" a="1"/>
  <c r="G33" i="2" s="1"/>
  <c r="G22" i="2" a="1"/>
  <c r="G22" i="2" s="1"/>
  <c r="E20" i="3" a="1"/>
  <c r="E20" i="3" s="1"/>
  <c r="E25" i="2" a="1"/>
  <c r="E25" i="2" s="1"/>
  <c r="E27" i="2" a="1"/>
  <c r="E27" i="2" s="1"/>
  <c r="D25" i="3" a="1"/>
  <c r="D25" i="3" s="1"/>
  <c r="D27" i="3" a="1"/>
  <c r="D27" i="3" s="1"/>
  <c r="F25" i="3" a="1"/>
  <c r="F25" i="3" s="1"/>
  <c r="D20" i="3" a="1"/>
  <c r="D20" i="3" s="1"/>
  <c r="F20" i="3" a="1"/>
  <c r="F20" i="3" s="1"/>
  <c r="E21" i="2" a="1"/>
  <c r="E21" i="2" s="1"/>
  <c r="E22" i="2" s="1" a="1"/>
  <c r="E22" i="2" s="1"/>
  <c r="D25" i="2" a="1"/>
  <c r="D25" i="2" s="1"/>
  <c r="F21" i="2" a="1"/>
  <c r="F21" i="2" s="1"/>
  <c r="F22" i="2" s="1" a="1"/>
  <c r="F22" i="2" s="1"/>
  <c r="F25" i="2" a="1"/>
  <c r="F25" i="2" s="1"/>
  <c r="D20" i="2" a="1"/>
  <c r="D20" i="2" s="1"/>
  <c r="F27" i="2" a="1"/>
  <c r="F27" i="2" s="1"/>
  <c r="F21" i="3" a="1"/>
  <c r="F21" i="3" s="1"/>
  <c r="F22" i="3" s="1" a="1"/>
  <c r="F22" i="3" s="1"/>
  <c r="D21" i="2" a="1"/>
  <c r="D21" i="2" s="1"/>
  <c r="D32" i="2" s="1" a="1"/>
  <c r="D32" i="2" s="1"/>
  <c r="D27" i="2" a="1"/>
  <c r="D27" i="2" s="1"/>
  <c r="D32" i="3" a="1"/>
  <c r="D32" i="3" s="1"/>
  <c r="D22" i="3" a="1"/>
  <c r="D22" i="3" s="1"/>
  <c r="E28" i="3" a="1"/>
  <c r="E28" i="3" s="1"/>
  <c r="D29" i="3" a="1"/>
  <c r="D29" i="3" s="1"/>
  <c r="E30" i="3" a="1"/>
  <c r="E30" i="3" s="1"/>
  <c r="D31" i="3" a="1"/>
  <c r="D31" i="3" s="1"/>
  <c r="E31" i="2" a="1"/>
  <c r="E31" i="2" s="1"/>
  <c r="F30" i="2" a="1"/>
  <c r="F30" i="2" s="1"/>
  <c r="F31" i="2" s="1" a="1"/>
  <c r="F31" i="2" s="1"/>
  <c r="E28" i="2" a="1"/>
  <c r="E28" i="2" s="1"/>
  <c r="D29" i="2" a="1"/>
  <c r="D29" i="2" s="1"/>
  <c r="H32" i="2" l="1" a="1"/>
  <c r="H32" i="2" s="1"/>
  <c r="H33" i="2" s="1" a="1"/>
  <c r="H33" i="2" s="1"/>
  <c r="F28" i="3" a="1"/>
  <c r="F28" i="3" s="1"/>
  <c r="F29" i="3" s="1" a="1"/>
  <c r="F29" i="3" s="1"/>
  <c r="E29" i="3" a="1"/>
  <c r="E29" i="3" s="1"/>
  <c r="E32" i="2" a="1"/>
  <c r="E32" i="2" s="1"/>
  <c r="D33" i="2" a="1"/>
  <c r="D33" i="2" s="1"/>
  <c r="E31" i="3" a="1"/>
  <c r="E31" i="3" s="1"/>
  <c r="F30" i="3" a="1"/>
  <c r="F30" i="3" s="1"/>
  <c r="F31" i="3" s="1" a="1"/>
  <c r="F31" i="3" s="1"/>
  <c r="E29" i="2" a="1"/>
  <c r="E29" i="2" s="1"/>
  <c r="F28" i="2" a="1"/>
  <c r="F28" i="2" s="1"/>
  <c r="F29" i="2" s="1" a="1"/>
  <c r="F29" i="2" s="1"/>
  <c r="D33" i="3" a="1"/>
  <c r="D33" i="3" s="1"/>
  <c r="E32" i="3" a="1"/>
  <c r="E32" i="3" s="1"/>
  <c r="E33" i="3" l="1" a="1"/>
  <c r="E33" i="3" s="1"/>
  <c r="F32" i="3" a="1"/>
  <c r="F32" i="3" s="1"/>
  <c r="F33" i="3" s="1" a="1"/>
  <c r="F33" i="3" s="1"/>
  <c r="E33" i="2" a="1"/>
  <c r="E33" i="2" s="1"/>
  <c r="F32" i="2" a="1"/>
  <c r="F32" i="2" s="1"/>
  <c r="F33" i="2" s="1" a="1"/>
  <c r="F3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<sst xmlns="http://schemas.openxmlformats.org/spreadsheetml/2006/main" count="82" uniqueCount="42">
  <si>
    <t>CÁLCULOS REALISTAS</t>
  </si>
  <si>
    <t>Vivienda 1</t>
  </si>
  <si>
    <t>Vivienda 2</t>
  </si>
  <si>
    <t>Vivienda 3</t>
  </si>
  <si>
    <t>COSTE DE ADQUISICIÓN</t>
  </si>
  <si>
    <t>Precio de compra total (incluyendo gastos e ITP o IVA)</t>
  </si>
  <si>
    <t>Capital de entrada (incluyendo gastos e ITP o IVA)</t>
  </si>
  <si>
    <t>GASTOS DE HIPOTECA</t>
  </si>
  <si>
    <t>Hipoteca (cuota mensual)</t>
  </si>
  <si>
    <t>Hipoteca anual</t>
  </si>
  <si>
    <t>OTROS GASTOS anuales</t>
  </si>
  <si>
    <t>IBI</t>
  </si>
  <si>
    <t xml:space="preserve">Tasa de Residuos Urbanos </t>
  </si>
  <si>
    <t>Comunidad de propietarios</t>
  </si>
  <si>
    <t>Seguro vivienda</t>
  </si>
  <si>
    <t>Seguro de impagos inquilino</t>
  </si>
  <si>
    <t>Otros Gastos</t>
  </si>
  <si>
    <t>Total de otros gastos anuales</t>
  </si>
  <si>
    <r>
      <rPr>
        <b/>
        <sz val="10"/>
        <color indexed="8"/>
        <rFont val="Helvetica Neue"/>
        <family val="2"/>
      </rPr>
      <t>Gastos anuales totales</t>
    </r>
    <r>
      <rPr>
        <sz val="10"/>
        <color indexed="8"/>
        <rFont val="Helvetica Neue"/>
        <family val="2"/>
      </rPr>
      <t xml:space="preserve"> (gastos de hipoteca + otros gastos)</t>
    </r>
  </si>
  <si>
    <t>FLUJO ECONÓMICO por vivienda</t>
  </si>
  <si>
    <t>Ingresos mensuales (precio del alquiler)</t>
  </si>
  <si>
    <t xml:space="preserve">Ingresos anuales </t>
  </si>
  <si>
    <t>Beneficio bruto mensual (cash flow mensual)</t>
  </si>
  <si>
    <r>
      <rPr>
        <b/>
        <sz val="10"/>
        <color indexed="8"/>
        <rFont val="Helvetica Neue"/>
        <family val="2"/>
      </rPr>
      <t>Beneficio bruto anual</t>
    </r>
    <r>
      <rPr>
        <sz val="10"/>
        <color indexed="8"/>
        <rFont val="Helvetica Neue"/>
        <family val="2"/>
      </rPr>
      <t xml:space="preserve"> (ingresos - gastos)</t>
    </r>
  </si>
  <si>
    <t>RENTABILIDADES</t>
  </si>
  <si>
    <r>
      <rPr>
        <b/>
        <sz val="10"/>
        <color indexed="8"/>
        <rFont val="Helvetica Neue"/>
        <family val="2"/>
      </rPr>
      <t xml:space="preserve">Años para recuperar el capital de entrada </t>
    </r>
    <r>
      <rPr>
        <sz val="10"/>
        <color indexed="8"/>
        <rFont val="Helvetica Neue"/>
        <family val="2"/>
      </rPr>
      <t>(Payback)</t>
    </r>
  </si>
  <si>
    <t>Cobertura alquiler/hipoteca</t>
  </si>
  <si>
    <r>
      <rPr>
        <b/>
        <sz val="10"/>
        <color indexed="8"/>
        <rFont val="Helvetica Neue"/>
        <family val="2"/>
      </rPr>
      <t xml:space="preserve">Rentabilidad bruta </t>
    </r>
    <r>
      <rPr>
        <sz val="10"/>
        <color indexed="8"/>
        <rFont val="Helvetica Neue"/>
        <family val="2"/>
      </rPr>
      <t>sobre el precio de compra</t>
    </r>
  </si>
  <si>
    <r>
      <rPr>
        <b/>
        <sz val="10"/>
        <color indexed="8"/>
        <rFont val="Helvetica Neue"/>
        <family val="2"/>
      </rPr>
      <t xml:space="preserve">ROCE - Rentabilidad neta </t>
    </r>
    <r>
      <rPr>
        <sz val="10"/>
        <color indexed="8"/>
        <rFont val="Helvetica Neue"/>
        <family val="2"/>
      </rPr>
      <t>sobre el precio de compra</t>
    </r>
  </si>
  <si>
    <r>
      <rPr>
        <b/>
        <sz val="10"/>
        <color indexed="8"/>
        <rFont val="Helvetica Neue"/>
        <family val="2"/>
      </rPr>
      <t xml:space="preserve">Rentabilidad bruta </t>
    </r>
    <r>
      <rPr>
        <sz val="10"/>
        <color indexed="8"/>
        <rFont val="Helvetica Neue"/>
        <family val="2"/>
      </rPr>
      <t>sobre la entrada</t>
    </r>
  </si>
  <si>
    <r>
      <rPr>
        <b/>
        <sz val="10"/>
        <color indexed="8"/>
        <rFont val="Helvetica Neue"/>
        <family val="2"/>
      </rPr>
      <t xml:space="preserve">ROE - Rentabilidad neta </t>
    </r>
    <r>
      <rPr>
        <sz val="10"/>
        <color indexed="8"/>
        <rFont val="Helvetica Neue"/>
        <family val="2"/>
      </rPr>
      <t>sobre el capital de entrada</t>
    </r>
  </si>
  <si>
    <t>SUMATORIO</t>
  </si>
  <si>
    <r>
      <rPr>
        <b/>
        <sz val="10"/>
        <color indexed="8"/>
        <rFont val="Helvetica Neue"/>
        <family val="2"/>
      </rPr>
      <t xml:space="preserve">Gastos anuales </t>
    </r>
    <r>
      <rPr>
        <sz val="10"/>
        <color indexed="8"/>
        <rFont val="Helvetica Neue"/>
        <family val="2"/>
      </rPr>
      <t>totales</t>
    </r>
    <r>
      <rPr>
        <b/>
        <sz val="10"/>
        <color indexed="8"/>
        <rFont val="Helvetica Neue"/>
        <family val="2"/>
      </rPr>
      <t xml:space="preserve"> </t>
    </r>
    <r>
      <rPr>
        <sz val="10"/>
        <color indexed="8"/>
        <rFont val="Helvetica Neue"/>
        <family val="2"/>
      </rPr>
      <t>(hipoteca + otros gastos)</t>
    </r>
  </si>
  <si>
    <r>
      <rPr>
        <b/>
        <sz val="10"/>
        <color indexed="8"/>
        <rFont val="Helvetica Neue"/>
        <family val="2"/>
      </rPr>
      <t xml:space="preserve">Gastos mensuales </t>
    </r>
    <r>
      <rPr>
        <sz val="10"/>
        <color indexed="8"/>
        <rFont val="Helvetica Neue"/>
        <family val="2"/>
      </rPr>
      <t>totales (hipoteca + otros gastos)</t>
    </r>
  </si>
  <si>
    <r>
      <rPr>
        <b/>
        <sz val="10"/>
        <color indexed="8"/>
        <rFont val="Helvetica Neue"/>
        <family val="2"/>
      </rPr>
      <t xml:space="preserve">Ingresos anuales </t>
    </r>
    <r>
      <rPr>
        <sz val="10"/>
        <color indexed="8"/>
        <rFont val="Helvetica Neue"/>
        <family val="2"/>
      </rPr>
      <t>totales</t>
    </r>
  </si>
  <si>
    <r>
      <rPr>
        <b/>
        <sz val="10"/>
        <color indexed="8"/>
        <rFont val="Helvetica Neue"/>
        <family val="2"/>
      </rPr>
      <t xml:space="preserve">Ingresos mensuales </t>
    </r>
    <r>
      <rPr>
        <sz val="10"/>
        <color indexed="8"/>
        <rFont val="Helvetica Neue"/>
        <family val="2"/>
      </rPr>
      <t>totales</t>
    </r>
  </si>
  <si>
    <r>
      <rPr>
        <b/>
        <sz val="10"/>
        <color indexed="8"/>
        <rFont val="Helvetica Neue"/>
        <family val="2"/>
      </rPr>
      <t xml:space="preserve">Beneficio bruto anual </t>
    </r>
    <r>
      <rPr>
        <sz val="10"/>
        <color indexed="8"/>
        <rFont val="Helvetica Neue"/>
        <family val="2"/>
      </rPr>
      <t>total</t>
    </r>
  </si>
  <si>
    <r>
      <rPr>
        <b/>
        <sz val="10"/>
        <color indexed="8"/>
        <rFont val="Helvetica Neue"/>
        <family val="2"/>
      </rPr>
      <t xml:space="preserve">Beneficio bruto mensual </t>
    </r>
    <r>
      <rPr>
        <sz val="10"/>
        <color indexed="8"/>
        <rFont val="Helvetica Neue"/>
        <family val="2"/>
      </rPr>
      <t>total</t>
    </r>
    <r>
      <rPr>
        <b/>
        <sz val="10"/>
        <color indexed="8"/>
        <rFont val="Helvetica Neue"/>
        <family val="2"/>
      </rPr>
      <t xml:space="preserve"> (cash flow mensual)</t>
    </r>
  </si>
  <si>
    <t>CÁLCULOS HIPOTÉTICOS</t>
  </si>
  <si>
    <t>www.tunegocioinmobiliario.com</t>
  </si>
  <si>
    <t>Vivienda 4</t>
  </si>
  <si>
    <t>Vivienda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</si>
</sst>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#,##0.00%"/>
    <numFmt numFmtId="166" formatCode="0.0&quot; años&quot;"/>
  </numFmts>
  <fonts count="7" x14ac:knownFonts="1">
    <font>
      <sz val="10"/>
      <color indexed="8"/>
      <name val="Helvetica Neue"/>
    </font>
    <font>
      <b/>
      <i/>
      <sz val="15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indexed="14"/>
      <name val="Helvetica Neue"/>
      <family val="2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</fonts>
  <fills count="9">
    <fill>
      <patternFill patternType="none"/>
    </fill>
    <fill>
      <patternFill patternType="gray125"/>
    </fill>
    <fill>
      <gradientFill degree="90">
        <stop position="0">
          <color rgb="FF60D836"/>
        </stop>
        <stop position="1">
          <color rgb="FF017000"/>
        </stop>
      </gradient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12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</cellStyleXfs>
  <cellXfs count="4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4" fillId="4" borderId="4" xfId="0" applyNumberFormat="1" applyFont="1" applyFill="1" applyBorder="1" applyAlignment="1">
      <alignment vertical="center" wrapText="1"/>
    </xf>
    <xf numFmtId="49" fontId="4" fillId="4" borderId="5" xfId="0" applyNumberFormat="1" applyFont="1" applyFill="1" applyBorder="1" applyAlignment="1">
      <alignment vertical="center" wrapText="1"/>
    </xf>
    <xf numFmtId="49" fontId="3" fillId="4" borderId="6" xfId="0" applyNumberFormat="1" applyFont="1" applyFill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49" fontId="4" fillId="4" borderId="7" xfId="0" applyNumberFormat="1" applyFont="1" applyFill="1" applyBorder="1" applyAlignment="1">
      <alignment vertical="center" wrapText="1"/>
    </xf>
    <xf numFmtId="49" fontId="4" fillId="4" borderId="8" xfId="0" applyNumberFormat="1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vertical="center" wrapText="1"/>
    </xf>
    <xf numFmtId="49" fontId="3" fillId="4" borderId="7" xfId="0" applyNumberFormat="1" applyFont="1" applyFill="1" applyBorder="1" applyAlignment="1">
      <alignment vertical="center" wrapText="1"/>
    </xf>
    <xf numFmtId="164" fontId="0" fillId="7" borderId="7" xfId="0" applyNumberFormat="1" applyFill="1" applyBorder="1" applyAlignment="1">
      <alignment vertical="center" wrapText="1"/>
    </xf>
    <xf numFmtId="49" fontId="3" fillId="4" borderId="5" xfId="0" applyNumberFormat="1" applyFont="1" applyFill="1" applyBorder="1" applyAlignment="1">
      <alignment vertical="center" wrapText="1"/>
    </xf>
    <xf numFmtId="164" fontId="0" fillId="7" borderId="5" xfId="0" applyNumberFormat="1" applyFill="1" applyBorder="1" applyAlignment="1">
      <alignment vertical="center" wrapText="1"/>
    </xf>
    <xf numFmtId="164" fontId="0" fillId="0" borderId="7" xfId="0" applyNumberFormat="1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165" fontId="0" fillId="7" borderId="6" xfId="0" applyNumberFormat="1" applyFill="1" applyBorder="1" applyAlignment="1">
      <alignment vertical="center" wrapText="1"/>
    </xf>
    <xf numFmtId="165" fontId="0" fillId="7" borderId="7" xfId="0" applyNumberFormat="1" applyFill="1" applyBorder="1" applyAlignment="1">
      <alignment vertical="center" wrapText="1"/>
    </xf>
    <xf numFmtId="165" fontId="3" fillId="8" borderId="5" xfId="0" applyNumberFormat="1" applyFont="1" applyFill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164" fontId="0" fillId="0" borderId="9" xfId="0" applyNumberFormat="1" applyBorder="1" applyAlignment="1">
      <alignment vertical="center" wrapText="1"/>
    </xf>
    <xf numFmtId="164" fontId="3" fillId="8" borderId="5" xfId="0" applyNumberFormat="1" applyFont="1" applyFill="1" applyBorder="1" applyAlignment="1">
      <alignment vertical="center" wrapText="1"/>
    </xf>
    <xf numFmtId="166" fontId="0" fillId="7" borderId="4" xfId="0" applyNumberFormat="1" applyFill="1" applyBorder="1" applyAlignment="1">
      <alignment vertical="center" wrapText="1"/>
    </xf>
    <xf numFmtId="0" fontId="6" fillId="0" borderId="0" xfId="1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>
      <alignment vertical="top" wrapText="1"/>
    </xf>
    <xf numFmtId="0" fontId="3" fillId="6" borderId="4" xfId="0" applyFont="1" applyFill="1" applyBorder="1">
      <alignment vertical="top" wrapText="1"/>
    </xf>
    <xf numFmtId="0" fontId="3" fillId="6" borderId="8" xfId="0" applyFont="1" applyFill="1" applyBorder="1">
      <alignment vertical="top" wrapText="1"/>
    </xf>
    <xf numFmtId="0" fontId="3" fillId="6" borderId="6" xfId="0" applyFont="1" applyFill="1" applyBorder="1">
      <alignment vertical="top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>
      <alignment vertical="top" wrapText="1"/>
    </xf>
    <xf numFmtId="0" fontId="1" fillId="0" borderId="0" xfId="0" applyFont="1" applyAlignment="1">
      <alignment horizontal="left" vertical="top" indent="20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>
      <alignment vertical="top" wrapText="1"/>
    </xf>
    <xf numFmtId="49" fontId="3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0" fillId="5" borderId="4" xfId="0" applyNumberFormat="1" applyFill="1" applyBorder="1" applyAlignment="1" applyProtection="1">
      <alignment vertical="center" wrapText="1"/>
      <protection locked="0"/>
    </xf>
    <xf numFmtId="164" fontId="0" fillId="5" borderId="5" xfId="0" applyNumberFormat="1" applyFill="1" applyBorder="1" applyAlignment="1" applyProtection="1">
      <alignment vertical="center" wrapText="1"/>
      <protection locked="0"/>
    </xf>
    <xf numFmtId="164" fontId="0" fillId="5" borderId="7" xfId="0" applyNumberFormat="1" applyFill="1" applyBorder="1" applyAlignment="1" applyProtection="1">
      <alignment vertical="center" wrapText="1"/>
      <protection locked="0"/>
    </xf>
    <xf numFmtId="164" fontId="0" fillId="5" borderId="8" xfId="0" applyNumberFormat="1" applyFill="1" applyBorder="1" applyAlignment="1" applyProtection="1">
      <alignment vertical="center" wrapText="1"/>
      <protection locked="0"/>
    </xf>
    <xf numFmtId="164" fontId="0" fillId="5" borderId="6" xfId="0" applyNumberFormat="1" applyFill="1" applyBorder="1" applyAlignment="1" applyProtection="1">
      <alignment vertical="center" wrapText="1"/>
      <protection locked="0"/>
    </xf>
    <xf numFmtId="164" fontId="3" fillId="5" borderId="4" xfId="0" applyNumberFormat="1" applyFont="1" applyFill="1" applyBorder="1" applyAlignment="1" applyProtection="1">
      <alignment vertical="center" wrapText="1"/>
      <protection locked="0"/>
    </xf>
    <xf numFmtId="164" fontId="5" fillId="5" borderId="5" xfId="0" applyNumberFormat="1" applyFont="1" applyFill="1" applyBorder="1" applyAlignment="1" applyProtection="1">
      <alignment vertical="center" wrapText="1"/>
      <protection locked="0"/>
    </xf>
    <xf numFmtId="164" fontId="5" fillId="5" borderId="7" xfId="0" applyNumberFormat="1" applyFont="1" applyFill="1" applyBorder="1" applyAlignment="1" applyProtection="1">
      <alignment vertical="center" wrapText="1"/>
      <protection locked="0"/>
    </xf>
    <xf numFmtId="164" fontId="5" fillId="5" borderId="8" xfId="0" applyNumberFormat="1" applyFont="1" applyFill="1" applyBorder="1" applyAlignment="1" applyProtection="1">
      <alignment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5A5A5"/>
      <rgbColor rgb="FFBDC0BF"/>
      <rgbColor rgb="FFB41700"/>
      <rgbColor rgb="FFCFF7C4"/>
      <rgbColor rgb="FF72FCE9"/>
      <rgbColor rgb="FFDBDBDB"/>
      <rgbColor rgb="FFFEFFFE"/>
      <rgbColor rgb="FFFFD931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212607</xdr:colOff>
      <xdr:row>4</xdr:row>
      <xdr:rowOff>0</xdr:rowOff>
    </xdr:from>
    <xdr:to>
      <xdr:col>20</xdr:col>
      <xdr:colOff>165049</xdr:colOff>
      <xdr:row>67</xdr:row>
      <xdr:rowOff>24988</xdr:rowOff>
    </xdr:to>
    <xdr:sp macro="" textlink="">
      <xdr:nvSpPr>
        <xdr:cNvPr id="2" name="Las tablas de Previsiones de ingresos por inmuebles muestran numéricamente los ingresos y beneficios que obtienes o puedes obtener arrendando un número determinado de viviendas en base a varios parámetros de cálculo.…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77338" y="655484"/>
          <a:ext cx="14482335" cy="1034885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Las tablas de </a:t>
          </a:r>
          <a:r>
            <a:rPr sz="1100" b="1" i="1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Previsiones de ingresos por inmuebles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muestran numéricamente los ingresos y beneficios que obtienes o puedes obtener arrendando un número determinado de viviendas en base a varios parámetros de cálculo.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Para el planteamiento de diferentes escenarios, dispones de dos tablas: una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cálculos realistas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y otra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cálculos hipotéticos.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1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Ambas tablas son idénticas en estructura, pero cumplen funciones distintas:</a:t>
          </a:r>
          <a:endParaRPr sz="1100" b="1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1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cálculos realistas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se utiliza para estimaciones económicas basadas en situaciones actuales, incluyendo las viviendas que ya posees o aquellas que prevés adquirir próximamente.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cálculos hipotéticos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está diseñada para simular escenarios alternativos: qué ocurre cuando amortizas las hipotecas, si cambia el tipo de interés, si se modifican los impuestos municipales, si sube o baja el alquiler o si quieres comparar distintas posibilidades antes de tomar decisiones.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 este modo, en la tabla realista puedes analizar tus viviendas actuales con datos verificados y estimar los ingresos de las futuras adquisiciones. En la tabla hipotética puedes experimentar con escenarios realistas, optimistas o incluso pesimistas.</a:t>
          </a:r>
        </a:p>
        <a:p>
          <a:pPr marL="0" marR="0" indent="0" algn="l" defTabSz="127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2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sz="12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		</a:t>
          </a:r>
          <a:r>
            <a:rPr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Cómo rellenar la tabla</a:t>
          </a:r>
          <a:endParaRPr sz="16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Para rellenar cualquiera de las dos tablas, ten en cuenta que la primera columna muestra los nombres de los valores: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El texto en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color rojo (10 celdas de color turquesa)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los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valores que debes introducir manualmente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(precio de compra, entrada, cuota hipotecaria, IBI, etc.).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El texto en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color negro (celdas de color blanco) 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los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resultados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que obtendrás automáticamente, resaltando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en amarillo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el sumatorio del beneficio bruto mensual total y el ROE.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 las columnas contiguas (Vivienda 1, Vivienda 2, etc.) deberás introducir </a:t>
          </a:r>
          <a:r>
            <a:rPr lang="es-ES"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los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valores </a:t>
          </a:r>
          <a:r>
            <a:rPr lang="es-ES"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sobre las viviendas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Cada columna corresponde a una vivienda distinta. Puedes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editar el nombre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de la vivienda e introducir datos reales sobre el inmueble, como calle y número. 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Al introducir tus datos, la tabla calcula automáticamente todos los gastos anuales, los ingresos anuales, el beneficio mensual y anual, las rentabilidades (bruta y neta/ROE, tanto sobre precio de compra de la vivienda como sobre el capital de entrada o inversión inicial) y la cobertura del alquiler respecto a la hipoteca.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 magia de estas tablas está en la visualización de cómo se suman, vivienda tras vivienda, los ingresos o beneficios mensuales que obtienes por cada nueva vivienda que incorpores a tu cartera, permitiéndote prever el futuro de tu economía.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Por defecto aparecen tres columnas para tres viviendas, pero puedes añadir más viviendas simplemente duplicando columnas. </a:t>
          </a:r>
          <a:endParaRPr lang="es-ES"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1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		</a:t>
          </a:r>
          <a:r>
            <a:rPr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Rentabilidades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 la parte inferior de la tabla verás una sección que permite analizar el rendimiento económico de cada vivienda. Estas rentabilidades son útiles para comparar inmuebles entre sí y para evaluar si una inversión merece la pena.</a:t>
          </a:r>
        </a:p>
        <a:p>
          <a:pPr marL="0" marR="0" lvl="2" indent="9144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Años para recuperar la entrada (Payback):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muestra cuántos años necesitas para recuperar el capital aportado inicialmente.	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Cobertura alquiler/hipoteca: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porcentaje que indica en qué medida el alquiler cubre la cuota hipotecaria mensual.</a:t>
          </a:r>
        </a:p>
        <a:p>
          <a:pPr marL="977900" marR="0" lvl="6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Menos del 100% → el alquiler no cubre la hipoteca</a:t>
          </a:r>
        </a:p>
        <a:p>
          <a:pPr marL="977900" marR="0" lvl="6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Entre 100% y 150% → operación aceptable</a:t>
          </a:r>
        </a:p>
        <a:p>
          <a:pPr marL="977900" marR="0" lvl="6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Más de 150% → operación solvente y con buen margen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Rentabilidad bruta sobre el precio de compra: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porcentaje que generan los ingresos anuales en relación con el coste total pagado por la vivienda.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Rentabilidad neta sobre el precio de compra (ROCE):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indica el rendimiento real tras descontar gastos anuales.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Rentabilidad bruta sobre la entrada: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muestra el rendimiento generado únicamente respecto al dinero que realmente has aportado como inversión inicial (capital de entrada).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Rentabilidad neta sobre la entrada (ROE):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probablemente el indicador más relevante en operaciones financiadas, ya que muestra el beneficio que obtienes exclusivamente sobre tu capital invertido.</a:t>
          </a:r>
        </a:p>
        <a:p>
          <a:pPr marL="0" marR="0" lvl="2" indent="9144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Esta sección te permite comprender de forma rápida y profesional la rentabilidad que aporta cada vivienda a tu situación financiera global.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		</a:t>
          </a:r>
          <a:r>
            <a:rPr sz="16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Definiciones importantes</a:t>
          </a: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Ingresos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cantidad económica que obtienes por el arrendamiento de la vivienda, sin incluir gastos o impuestos.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Beneficios brutos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ingresos menos los gastos que se contemplan en la tabla, que agrupan los gastos anuales más importantes y fáciles de cuantificar.</a:t>
          </a:r>
        </a:p>
        <a:p>
          <a:pPr marL="558800" marR="0" lvl="3" indent="-1397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Beneficios netos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serían los beneficios brutos después de aplicar impuestos. En esta tabla no se calculan, pues dependen de la situación fiscal particular de cada persona o empresa.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* La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Gastos Iniciales en Inmuebles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y la </a:t>
          </a:r>
          <a:r>
            <a:rPr sz="11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Análisis y Selección de Inmuebles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complementan esta herramienta, facilitando su elaboración y permitiendo mantener un histórico estructurado de operaciones anteriores.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¡Espero que te resulte útil y lo disfrutes!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unegocioinmobiliari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unegocioinmobiliari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3"/>
  <sheetViews>
    <sheetView showGridLines="0" tabSelected="1" zoomScale="50" workbookViewId="0">
      <pane xSplit="3" ySplit="5" topLeftCell="D6" activePane="bottomRight" state="frozen"/>
      <selection pane="topRight"/>
      <selection pane="bottomLeft"/>
      <selection pane="bottomRight" activeCell="I13" sqref="I13"/>
    </sheetView>
  </sheetViews>
  <sheetFormatPr baseColWidth="10" defaultColWidth="16.33203125" defaultRowHeight="20" customHeight="1" x14ac:dyDescent="0.15"/>
  <cols>
    <col min="1" max="1" width="4.83203125" style="1" customWidth="1"/>
    <col min="2" max="2" width="16.5" style="1" customWidth="1"/>
    <col min="3" max="3" width="47" style="1" customWidth="1"/>
    <col min="4" max="4" width="16.33203125" style="1" customWidth="1"/>
    <col min="5" max="8" width="17.6640625" style="1" customWidth="1"/>
    <col min="9" max="16384" width="16.33203125" style="1"/>
  </cols>
  <sheetData>
    <row r="2" spans="2:8" ht="20" customHeight="1" x14ac:dyDescent="0.15">
      <c r="B2" s="23" t="s">
        <v>39</v>
      </c>
      <c r="C2" s="24"/>
    </row>
    <row r="3" spans="2:8" ht="20" customHeight="1" x14ac:dyDescent="0.15">
      <c r="B3" s="24"/>
      <c r="C3" s="24"/>
    </row>
    <row r="4" spans="2:8" ht="25" customHeight="1" thickBot="1" x14ac:dyDescent="0.2">
      <c r="B4" s="32"/>
      <c r="C4" s="32"/>
      <c r="D4" s="32"/>
      <c r="E4" s="32"/>
      <c r="F4" s="32"/>
    </row>
    <row r="5" spans="2:8" ht="24.75" customHeight="1" thickBot="1" x14ac:dyDescent="0.2">
      <c r="B5" s="33" t="s">
        <v>0</v>
      </c>
      <c r="C5" s="34"/>
      <c r="D5" s="37" t="s">
        <v>1</v>
      </c>
      <c r="E5" s="37" t="s">
        <v>2</v>
      </c>
      <c r="F5" s="37" t="s">
        <v>3</v>
      </c>
      <c r="G5" s="37" t="s">
        <v>40</v>
      </c>
      <c r="H5" s="37" t="s">
        <v>41</v>
      </c>
    </row>
    <row r="6" spans="2:8" ht="20.75" customHeight="1" x14ac:dyDescent="0.15">
      <c r="B6" s="30" t="s">
        <v>4</v>
      </c>
      <c r="C6" s="2" t="s">
        <v>5</v>
      </c>
      <c r="D6" s="38"/>
      <c r="E6" s="38"/>
      <c r="F6" s="38"/>
      <c r="G6" s="38"/>
      <c r="H6" s="38"/>
    </row>
    <row r="7" spans="2:8" ht="20.75" customHeight="1" thickBot="1" x14ac:dyDescent="0.2">
      <c r="B7" s="31"/>
      <c r="C7" s="3" t="s">
        <v>6</v>
      </c>
      <c r="D7" s="39"/>
      <c r="E7" s="39"/>
      <c r="F7" s="39"/>
      <c r="G7" s="44"/>
      <c r="H7" s="39"/>
    </row>
    <row r="8" spans="2:8" ht="20.75" customHeight="1" x14ac:dyDescent="0.15">
      <c r="B8" s="30" t="s">
        <v>7</v>
      </c>
      <c r="C8" s="2" t="s">
        <v>8</v>
      </c>
      <c r="D8" s="38"/>
      <c r="E8" s="38"/>
      <c r="F8" s="38"/>
      <c r="G8" s="38"/>
      <c r="H8" s="38"/>
    </row>
    <row r="9" spans="2:8" ht="20.25" customHeight="1" x14ac:dyDescent="0.15">
      <c r="B9" s="29"/>
      <c r="C9" s="4" t="s">
        <v>9</v>
      </c>
      <c r="D9" s="5" cm="1">
        <f t="array" ref="D9">D8*12</f>
        <v>0</v>
      </c>
      <c r="E9" s="5" cm="1">
        <f t="array" ref="E9">E8*12</f>
        <v>0</v>
      </c>
      <c r="F9" s="5" cm="1">
        <f t="array" ref="F9">F8*12</f>
        <v>0</v>
      </c>
      <c r="G9" s="5" cm="1">
        <f t="array" ref="G9">G8*12</f>
        <v>0</v>
      </c>
      <c r="H9" s="5" cm="1">
        <f t="array" ref="H9">H8*12</f>
        <v>0</v>
      </c>
    </row>
    <row r="10" spans="2:8" ht="20.25" customHeight="1" x14ac:dyDescent="0.15">
      <c r="B10" s="35" t="s">
        <v>10</v>
      </c>
      <c r="C10" s="6" t="s">
        <v>11</v>
      </c>
      <c r="D10" s="40"/>
      <c r="E10" s="40"/>
      <c r="F10" s="40"/>
      <c r="G10" s="45"/>
      <c r="H10" s="40"/>
    </row>
    <row r="11" spans="2:8" ht="20" customHeight="1" x14ac:dyDescent="0.15">
      <c r="B11" s="28"/>
      <c r="C11" s="7" t="s">
        <v>12</v>
      </c>
      <c r="D11" s="41"/>
      <c r="E11" s="41"/>
      <c r="F11" s="41"/>
      <c r="G11" s="41"/>
      <c r="H11" s="41"/>
    </row>
    <row r="12" spans="2:8" ht="20" customHeight="1" x14ac:dyDescent="0.15">
      <c r="B12" s="28"/>
      <c r="C12" s="7" t="s">
        <v>13</v>
      </c>
      <c r="D12" s="41"/>
      <c r="E12" s="41"/>
      <c r="F12" s="41"/>
      <c r="G12" s="41"/>
      <c r="H12" s="41"/>
    </row>
    <row r="13" spans="2:8" ht="20" customHeight="1" x14ac:dyDescent="0.15">
      <c r="B13" s="28"/>
      <c r="C13" s="7" t="s">
        <v>14</v>
      </c>
      <c r="D13" s="41"/>
      <c r="E13" s="41"/>
      <c r="F13" s="41"/>
      <c r="G13" s="46"/>
      <c r="H13" s="41"/>
    </row>
    <row r="14" spans="2:8" ht="20" customHeight="1" x14ac:dyDescent="0.15">
      <c r="B14" s="28"/>
      <c r="C14" s="7" t="s">
        <v>15</v>
      </c>
      <c r="D14" s="41"/>
      <c r="E14" s="41"/>
      <c r="F14" s="41"/>
      <c r="G14" s="41"/>
      <c r="H14" s="41"/>
    </row>
    <row r="15" spans="2:8" ht="20.25" customHeight="1" x14ac:dyDescent="0.15">
      <c r="B15" s="28"/>
      <c r="C15" s="8" t="s">
        <v>16</v>
      </c>
      <c r="D15" s="42"/>
      <c r="E15" s="42"/>
      <c r="F15" s="42"/>
      <c r="G15" s="42"/>
      <c r="H15" s="42"/>
    </row>
    <row r="16" spans="2:8" ht="20.25" customHeight="1" x14ac:dyDescent="0.15">
      <c r="B16" s="28"/>
      <c r="C16" s="9" t="s">
        <v>17</v>
      </c>
      <c r="D16" s="10" cm="1">
        <f t="array" ref="D16">D10+D11+D12+D13+D14+D15</f>
        <v>0</v>
      </c>
      <c r="E16" s="10" cm="1">
        <f t="array" ref="E16">E10+E11+E12+E13+E14+E15</f>
        <v>0</v>
      </c>
      <c r="F16" s="10" cm="1">
        <f t="array" ref="F16">F10+F11+F12+F13+F14+F15</f>
        <v>0</v>
      </c>
      <c r="G16" s="10" cm="1">
        <f t="array" ref="G16">G10+G11+G12+G13+G14+G15</f>
        <v>0</v>
      </c>
      <c r="H16" s="10" cm="1">
        <f t="array" ref="H16">H10+H11+H12+H13+H14+H15</f>
        <v>0</v>
      </c>
    </row>
    <row r="17" spans="2:8" ht="21" customHeight="1" thickBot="1" x14ac:dyDescent="0.2">
      <c r="B17" s="31"/>
      <c r="C17" s="11" t="s">
        <v>18</v>
      </c>
      <c r="D17" s="12" cm="1">
        <f t="array" ref="D17">D16+D9</f>
        <v>0</v>
      </c>
      <c r="E17" s="12" cm="1">
        <f t="array" ref="E17">E16+E9</f>
        <v>0</v>
      </c>
      <c r="F17" s="12" cm="1">
        <f t="array" ref="F17">F16+F9</f>
        <v>0</v>
      </c>
      <c r="G17" s="12" cm="1">
        <f t="array" ref="G17">G16+G9</f>
        <v>0</v>
      </c>
      <c r="H17" s="12" cm="1">
        <f t="array" ref="H17">H16+H9</f>
        <v>0</v>
      </c>
    </row>
    <row r="18" spans="2:8" ht="20.75" customHeight="1" x14ac:dyDescent="0.15">
      <c r="B18" s="30" t="s">
        <v>19</v>
      </c>
      <c r="C18" s="2" t="s">
        <v>20</v>
      </c>
      <c r="D18" s="43"/>
      <c r="E18" s="43"/>
      <c r="F18" s="43"/>
      <c r="G18" s="43"/>
      <c r="H18" s="43"/>
    </row>
    <row r="19" spans="2:8" ht="20.25" customHeight="1" x14ac:dyDescent="0.15">
      <c r="B19" s="28"/>
      <c r="C19" s="4" t="s">
        <v>21</v>
      </c>
      <c r="D19" s="5" cm="1">
        <f t="array" ref="D19">D18*12</f>
        <v>0</v>
      </c>
      <c r="E19" s="5" cm="1">
        <f t="array" ref="E19">E18*12</f>
        <v>0</v>
      </c>
      <c r="F19" s="5" cm="1">
        <f t="array" ref="F19">F18*12</f>
        <v>0</v>
      </c>
      <c r="G19" s="5" cm="1">
        <f t="array" ref="G19">G18*12</f>
        <v>0</v>
      </c>
      <c r="H19" s="5" cm="1">
        <f t="array" ref="H19">H18*12</f>
        <v>0</v>
      </c>
    </row>
    <row r="20" spans="2:8" ht="20.25" customHeight="1" x14ac:dyDescent="0.15">
      <c r="B20" s="28"/>
      <c r="C20" s="9" t="s">
        <v>22</v>
      </c>
      <c r="D20" s="13" cm="1">
        <f t="array" ref="D20">D18-(D17/12)</f>
        <v>0</v>
      </c>
      <c r="E20" s="13" cm="1">
        <f t="array" ref="E20">(E19-E17)/12</f>
        <v>0</v>
      </c>
      <c r="F20" s="13" cm="1">
        <f t="array" ref="F20">(F19-F17)/12</f>
        <v>0</v>
      </c>
      <c r="G20" s="13" cm="1">
        <f t="array" ref="G20">(G19-G17)/12</f>
        <v>0</v>
      </c>
      <c r="H20" s="13" cm="1">
        <f t="array" ref="H20">(H19-H17)/12</f>
        <v>0</v>
      </c>
    </row>
    <row r="21" spans="2:8" ht="21" customHeight="1" thickBot="1" x14ac:dyDescent="0.2">
      <c r="B21" s="31"/>
      <c r="C21" s="11" t="s">
        <v>23</v>
      </c>
      <c r="D21" s="14" cm="1">
        <f t="array" ref="D21">D19-D17</f>
        <v>0</v>
      </c>
      <c r="E21" s="14" cm="1">
        <f t="array" ref="E21">E19-E17</f>
        <v>0</v>
      </c>
      <c r="F21" s="14" cm="1">
        <f t="array" ref="F21">F19-F17</f>
        <v>0</v>
      </c>
      <c r="G21" s="14" cm="1">
        <f t="array" ref="G21">G19-G17</f>
        <v>0</v>
      </c>
      <c r="H21" s="14" cm="1">
        <f t="array" ref="H21">H19-H17</f>
        <v>0</v>
      </c>
    </row>
    <row r="22" spans="2:8" ht="21" customHeight="1" x14ac:dyDescent="0.15">
      <c r="B22" s="30" t="s">
        <v>24</v>
      </c>
      <c r="C22" s="15" t="s">
        <v>25</v>
      </c>
      <c r="D22" s="22">
        <f>IFERROR(D7/D21,0)</f>
        <v>0</v>
      </c>
      <c r="E22" s="22" cm="1">
        <f t="array" ref="E22">IFERROR(E7/E21,0)</f>
        <v>0</v>
      </c>
      <c r="F22" s="22" cm="1">
        <f t="array" ref="F22">IFERROR(F7/F21,0)</f>
        <v>0</v>
      </c>
      <c r="G22" s="22" cm="1">
        <f t="array" ref="G22">IFERROR(G7/G21,0)</f>
        <v>0</v>
      </c>
      <c r="H22" s="22" cm="1">
        <f t="array" ref="H22">IFERROR(H7/H21,0)</f>
        <v>0</v>
      </c>
    </row>
    <row r="23" spans="2:8" ht="20.25" customHeight="1" x14ac:dyDescent="0.15">
      <c r="B23" s="28"/>
      <c r="C23" s="4" t="s">
        <v>26</v>
      </c>
      <c r="D23" s="16" cm="1">
        <f t="array" ref="D23">IFERROR(D18/D8,0)</f>
        <v>0</v>
      </c>
      <c r="E23" s="16" cm="1">
        <f t="array" ref="E23">IFERROR(E18/E8,0)</f>
        <v>0</v>
      </c>
      <c r="F23" s="16" cm="1">
        <f t="array" ref="F23">IFERROR(F18/F8,0)</f>
        <v>0</v>
      </c>
      <c r="G23" s="16" cm="1">
        <f t="array" ref="G23">IFERROR(G18/G8,0)</f>
        <v>0</v>
      </c>
      <c r="H23" s="16" cm="1">
        <f t="array" ref="H23">IFERROR(H18/H8,0)</f>
        <v>0</v>
      </c>
    </row>
    <row r="24" spans="2:8" ht="20.5" customHeight="1" x14ac:dyDescent="0.15">
      <c r="B24" s="28"/>
      <c r="C24" s="9" t="s">
        <v>27</v>
      </c>
      <c r="D24" s="17" cm="1">
        <f t="array" ref="D24">IFERROR(D19/D6,0)</f>
        <v>0</v>
      </c>
      <c r="E24" s="17" cm="1">
        <f t="array" ref="E24">IFERROR(E19/E6,0)</f>
        <v>0</v>
      </c>
      <c r="F24" s="17" cm="1">
        <f t="array" ref="F24">IFERROR(F19/F6,0)</f>
        <v>0</v>
      </c>
      <c r="G24" s="17" cm="1">
        <f t="array" ref="G24">IFERROR(G19/G6,0)</f>
        <v>0</v>
      </c>
      <c r="H24" s="17" cm="1">
        <f t="array" ref="H24">IFERROR(H19/H6,0)</f>
        <v>0</v>
      </c>
    </row>
    <row r="25" spans="2:8" ht="20.5" customHeight="1" x14ac:dyDescent="0.15">
      <c r="B25" s="28"/>
      <c r="C25" s="4" t="s">
        <v>28</v>
      </c>
      <c r="D25" s="16" cm="1">
        <f t="array" ref="D25">IFERROR((D19-D17)/D6,0)</f>
        <v>0</v>
      </c>
      <c r="E25" s="16" cm="1">
        <f t="array" ref="E25">IFERROR((E19-E17)/E6,0)</f>
        <v>0</v>
      </c>
      <c r="F25" s="16" cm="1">
        <f t="array" ref="F25">IFERROR((F19-F17)/F6,0)</f>
        <v>0</v>
      </c>
      <c r="G25" s="16" cm="1">
        <f t="array" ref="G25">IFERROR((G19-G17)/G6,0)</f>
        <v>0</v>
      </c>
      <c r="H25" s="16" cm="1">
        <f t="array" ref="H25">IFERROR((H19-H17)/H6,0)</f>
        <v>0</v>
      </c>
    </row>
    <row r="26" spans="2:8" ht="20.5" customHeight="1" x14ac:dyDescent="0.15">
      <c r="B26" s="28"/>
      <c r="C26" s="9" t="s">
        <v>29</v>
      </c>
      <c r="D26" s="17" cm="1">
        <f t="array" ref="D26">IFERROR(D19/D7,0)</f>
        <v>0</v>
      </c>
      <c r="E26" s="17" cm="1">
        <f t="array" ref="E26">IFERROR(E19/E7,0)</f>
        <v>0</v>
      </c>
      <c r="F26" s="17" cm="1">
        <f t="array" ref="F26">IFERROR(F19/F7,0)</f>
        <v>0</v>
      </c>
      <c r="G26" s="17" cm="1">
        <f t="array" ref="G26">IFERROR(G19/G7,0)</f>
        <v>0</v>
      </c>
      <c r="H26" s="17" cm="1">
        <f t="array" ref="H26">IFERROR(H19/H7,0)</f>
        <v>0</v>
      </c>
    </row>
    <row r="27" spans="2:8" ht="21" customHeight="1" thickBot="1" x14ac:dyDescent="0.2">
      <c r="B27" s="31"/>
      <c r="C27" s="11" t="s">
        <v>30</v>
      </c>
      <c r="D27" s="18" cm="1">
        <f t="array" ref="D27">IFERROR((D19-D17)/D7,0)</f>
        <v>0</v>
      </c>
      <c r="E27" s="18" cm="1">
        <f t="array" ref="E27">IFERROR((E19-E17)/E7,0)</f>
        <v>0</v>
      </c>
      <c r="F27" s="18" cm="1">
        <f t="array" ref="F27">IFERROR((F19-F17)/F7,0)</f>
        <v>0</v>
      </c>
      <c r="G27" s="18" cm="1">
        <f t="array" ref="G27">IFERROR((G19-G17)/G7,0)</f>
        <v>0</v>
      </c>
      <c r="H27" s="18" cm="1">
        <f t="array" ref="H27">IFERROR((H19-H17)/H7,0)</f>
        <v>0</v>
      </c>
    </row>
    <row r="28" spans="2:8" ht="21" customHeight="1" thickBot="1" x14ac:dyDescent="0.2">
      <c r="B28" s="25" t="s">
        <v>31</v>
      </c>
      <c r="C28" s="15" t="s">
        <v>32</v>
      </c>
      <c r="D28" s="19" cm="1">
        <f t="array" ref="D28">D17</f>
        <v>0</v>
      </c>
      <c r="E28" s="19" cm="1">
        <f t="array" ref="E28">D28+E17</f>
        <v>0</v>
      </c>
      <c r="F28" s="19" cm="1">
        <f t="array" ref="F28">E28+F17</f>
        <v>0</v>
      </c>
      <c r="G28" s="19" cm="1">
        <f t="array" ref="G28">F28+G17</f>
        <v>0</v>
      </c>
      <c r="H28" s="19" cm="1">
        <f t="array" ref="H28">G28+H17</f>
        <v>0</v>
      </c>
    </row>
    <row r="29" spans="2:8" ht="20.5" customHeight="1" thickBot="1" x14ac:dyDescent="0.2">
      <c r="B29" s="26"/>
      <c r="C29" s="4" t="s">
        <v>33</v>
      </c>
      <c r="D29" s="5" cm="1">
        <f t="array" ref="D29">D28/12</f>
        <v>0</v>
      </c>
      <c r="E29" s="5" cm="1">
        <f t="array" ref="E29">E28/12</f>
        <v>0</v>
      </c>
      <c r="F29" s="5" cm="1">
        <f t="array" ref="F29">F28/12</f>
        <v>0</v>
      </c>
      <c r="G29" s="5" cm="1">
        <f t="array" ref="G29">G28/12</f>
        <v>0</v>
      </c>
      <c r="H29" s="5" cm="1">
        <f t="array" ref="H29">H28/12</f>
        <v>0</v>
      </c>
    </row>
    <row r="30" spans="2:8" ht="20.5" customHeight="1" x14ac:dyDescent="0.15">
      <c r="B30" s="27"/>
      <c r="C30" s="9" t="s">
        <v>34</v>
      </c>
      <c r="D30" s="13" cm="1">
        <f t="array" ref="D30">D19</f>
        <v>0</v>
      </c>
      <c r="E30" s="13" cm="1">
        <f t="array" ref="E30">D30+E19</f>
        <v>0</v>
      </c>
      <c r="F30" s="13" cm="1">
        <f t="array" ref="F30">E30+F19</f>
        <v>0</v>
      </c>
      <c r="G30" s="13" cm="1">
        <f t="array" ref="G30">F30+G19</f>
        <v>0</v>
      </c>
      <c r="H30" s="13" cm="1">
        <f t="array" ref="H30">G30+H19</f>
        <v>0</v>
      </c>
    </row>
    <row r="31" spans="2:8" ht="20.5" customHeight="1" x14ac:dyDescent="0.15">
      <c r="B31" s="28"/>
      <c r="C31" s="4" t="s">
        <v>35</v>
      </c>
      <c r="D31" s="5" cm="1">
        <f t="array" ref="D31">D30/12</f>
        <v>0</v>
      </c>
      <c r="E31" s="5" cm="1">
        <f t="array" ref="E31">E30/12</f>
        <v>0</v>
      </c>
      <c r="F31" s="5" cm="1">
        <f t="array" ref="F31">F30/12</f>
        <v>0</v>
      </c>
      <c r="G31" s="5" cm="1">
        <f t="array" ref="G31">G30/12</f>
        <v>0</v>
      </c>
      <c r="H31" s="5" cm="1">
        <f t="array" ref="H31">H30/12</f>
        <v>0</v>
      </c>
    </row>
    <row r="32" spans="2:8" ht="20.5" customHeight="1" x14ac:dyDescent="0.15">
      <c r="B32" s="28"/>
      <c r="C32" s="9" t="s">
        <v>36</v>
      </c>
      <c r="D32" s="13" cm="1">
        <f t="array" ref="D32">D21</f>
        <v>0</v>
      </c>
      <c r="E32" s="13" cm="1">
        <f t="array" ref="E32">D32+E21</f>
        <v>0</v>
      </c>
      <c r="F32" s="20" cm="1">
        <f t="array" ref="F32">E32+F21</f>
        <v>0</v>
      </c>
      <c r="G32" s="20" cm="1">
        <f t="array" ref="G32">F32+G21</f>
        <v>0</v>
      </c>
      <c r="H32" s="20" cm="1">
        <f t="array" ref="H32">G32+H21</f>
        <v>0</v>
      </c>
    </row>
    <row r="33" spans="2:8" ht="21" customHeight="1" thickBot="1" x14ac:dyDescent="0.2">
      <c r="B33" s="29"/>
      <c r="C33" s="11" t="s">
        <v>37</v>
      </c>
      <c r="D33" s="21" cm="1">
        <f t="array" ref="D33">D32/12</f>
        <v>0</v>
      </c>
      <c r="E33" s="21" cm="1">
        <f t="array" ref="E33">E32/12</f>
        <v>0</v>
      </c>
      <c r="F33" s="21" cm="1">
        <f t="array" ref="F33">F32/12</f>
        <v>0</v>
      </c>
      <c r="G33" s="21" cm="1">
        <f t="array" ref="G33">G32/12</f>
        <v>0</v>
      </c>
      <c r="H33" s="21" cm="1">
        <f t="array" ref="H33">H32/12</f>
        <v>0</v>
      </c>
    </row>
  </sheetData>
  <sheetProtection algorithmName="SHA-512" hashValue="XB2s0Ff6dGAHUMFtwGUhO4H8yOD+4ond3FcP2YwXCJUdKsl3ixkeolq5fXZN7TQAwnc9qbTTBwZc5HSgDpFssw==" saltValue="kZEfxCT0Vm9p1MiJJ2rTdQ==" spinCount="100000" sheet="1" objects="1" scenarios="1"/>
  <mergeCells count="9">
    <mergeCell ref="B2:C3"/>
    <mergeCell ref="B28:B33"/>
    <mergeCell ref="B6:B7"/>
    <mergeCell ref="B22:B27"/>
    <mergeCell ref="B4:F4"/>
    <mergeCell ref="B18:B21"/>
    <mergeCell ref="B5:C5"/>
    <mergeCell ref="B8:B9"/>
    <mergeCell ref="B10:B17"/>
  </mergeCells>
  <hyperlinks>
    <hyperlink ref="B2" r:id="rId1" xr:uid="{093B606E-0FE8-5A45-92AC-EC27690C86FC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3"/>
  <sheetViews>
    <sheetView showGridLines="0" zoomScale="87" workbookViewId="0">
      <pane xSplit="3" ySplit="5" topLeftCell="D6" activePane="bottomRight" state="frozen"/>
      <selection pane="topRight"/>
      <selection pane="bottomLeft"/>
      <selection pane="bottomRight" activeCell="I30" sqref="I30"/>
    </sheetView>
  </sheetViews>
  <sheetFormatPr baseColWidth="10" defaultColWidth="16.33203125" defaultRowHeight="20" customHeight="1" x14ac:dyDescent="0.15"/>
  <cols>
    <col min="1" max="1" width="4.83203125" style="1" customWidth="1"/>
    <col min="2" max="2" width="16.5" style="1" customWidth="1"/>
    <col min="3" max="3" width="47" style="1" customWidth="1"/>
    <col min="4" max="4" width="16.33203125" style="1" customWidth="1"/>
    <col min="5" max="8" width="17.6640625" style="1" customWidth="1"/>
    <col min="9" max="16384" width="16.33203125" style="1"/>
  </cols>
  <sheetData>
    <row r="2" spans="2:8" ht="20" customHeight="1" x14ac:dyDescent="0.15">
      <c r="B2" s="23" t="s">
        <v>39</v>
      </c>
      <c r="C2" s="24"/>
    </row>
    <row r="3" spans="2:8" ht="20" customHeight="1" x14ac:dyDescent="0.15">
      <c r="B3" s="24"/>
      <c r="C3" s="24"/>
    </row>
    <row r="4" spans="2:8" ht="31.5" customHeight="1" thickBot="1" x14ac:dyDescent="0.2">
      <c r="B4" s="36"/>
      <c r="C4" s="36"/>
      <c r="D4" s="36"/>
      <c r="E4" s="36"/>
      <c r="F4" s="36"/>
    </row>
    <row r="5" spans="2:8" ht="24.75" customHeight="1" thickBot="1" x14ac:dyDescent="0.2">
      <c r="B5" s="33" t="s">
        <v>38</v>
      </c>
      <c r="C5" s="34"/>
      <c r="D5" s="37" t="s">
        <v>1</v>
      </c>
      <c r="E5" s="37" t="s">
        <v>2</v>
      </c>
      <c r="F5" s="37" t="s">
        <v>3</v>
      </c>
      <c r="G5" s="37" t="s">
        <v>40</v>
      </c>
      <c r="H5" s="37" t="s">
        <v>41</v>
      </c>
    </row>
    <row r="6" spans="2:8" ht="20.75" customHeight="1" x14ac:dyDescent="0.15">
      <c r="B6" s="30" t="s">
        <v>4</v>
      </c>
      <c r="C6" s="2" t="s">
        <v>5</v>
      </c>
      <c r="D6" s="38"/>
      <c r="E6" s="38"/>
      <c r="F6" s="38"/>
      <c r="G6" s="38"/>
      <c r="H6" s="38"/>
    </row>
    <row r="7" spans="2:8" ht="20.75" customHeight="1" thickBot="1" x14ac:dyDescent="0.2">
      <c r="B7" s="31"/>
      <c r="C7" s="3" t="s">
        <v>6</v>
      </c>
      <c r="D7" s="39"/>
      <c r="E7" s="39"/>
      <c r="F7" s="39"/>
      <c r="G7" s="39"/>
      <c r="H7" s="39"/>
    </row>
    <row r="8" spans="2:8" ht="20.75" customHeight="1" x14ac:dyDescent="0.15">
      <c r="B8" s="30" t="s">
        <v>7</v>
      </c>
      <c r="C8" s="2" t="s">
        <v>8</v>
      </c>
      <c r="D8" s="38"/>
      <c r="E8" s="38"/>
      <c r="F8" s="38"/>
      <c r="G8" s="38"/>
      <c r="H8" s="38"/>
    </row>
    <row r="9" spans="2:8" ht="20.25" customHeight="1" x14ac:dyDescent="0.15">
      <c r="B9" s="29"/>
      <c r="C9" s="4" t="s">
        <v>9</v>
      </c>
      <c r="D9" s="5" cm="1">
        <f t="array" ref="D9">D8*12</f>
        <v>0</v>
      </c>
      <c r="E9" s="5" cm="1">
        <f t="array" ref="E9">E8*12</f>
        <v>0</v>
      </c>
      <c r="F9" s="5" cm="1">
        <f t="array" ref="F9">F8*12</f>
        <v>0</v>
      </c>
      <c r="G9" s="5" cm="1">
        <f t="array" ref="G9">G8*12</f>
        <v>0</v>
      </c>
      <c r="H9" s="5" cm="1">
        <f t="array" ref="H9">H8*12</f>
        <v>0</v>
      </c>
    </row>
    <row r="10" spans="2:8" ht="20.25" customHeight="1" x14ac:dyDescent="0.15">
      <c r="B10" s="35" t="s">
        <v>10</v>
      </c>
      <c r="C10" s="6" t="s">
        <v>11</v>
      </c>
      <c r="D10" s="40"/>
      <c r="E10" s="40"/>
      <c r="F10" s="40"/>
      <c r="G10" s="40"/>
      <c r="H10" s="40"/>
    </row>
    <row r="11" spans="2:8" ht="20" customHeight="1" x14ac:dyDescent="0.15">
      <c r="B11" s="28"/>
      <c r="C11" s="7" t="s">
        <v>12</v>
      </c>
      <c r="D11" s="41"/>
      <c r="E11" s="41"/>
      <c r="F11" s="41"/>
      <c r="G11" s="41"/>
      <c r="H11" s="41"/>
    </row>
    <row r="12" spans="2:8" ht="20" customHeight="1" x14ac:dyDescent="0.15">
      <c r="B12" s="28"/>
      <c r="C12" s="7" t="s">
        <v>13</v>
      </c>
      <c r="D12" s="41"/>
      <c r="E12" s="41"/>
      <c r="F12" s="41"/>
      <c r="G12" s="41"/>
      <c r="H12" s="41"/>
    </row>
    <row r="13" spans="2:8" ht="20" customHeight="1" x14ac:dyDescent="0.15">
      <c r="B13" s="28"/>
      <c r="C13" s="7" t="s">
        <v>14</v>
      </c>
      <c r="D13" s="41"/>
      <c r="E13" s="41"/>
      <c r="F13" s="41"/>
      <c r="G13" s="41"/>
      <c r="H13" s="41"/>
    </row>
    <row r="14" spans="2:8" ht="20" customHeight="1" x14ac:dyDescent="0.15">
      <c r="B14" s="28"/>
      <c r="C14" s="7" t="s">
        <v>15</v>
      </c>
      <c r="D14" s="41"/>
      <c r="E14" s="41"/>
      <c r="F14" s="41"/>
      <c r="G14" s="41"/>
      <c r="H14" s="41"/>
    </row>
    <row r="15" spans="2:8" ht="20.25" customHeight="1" x14ac:dyDescent="0.15">
      <c r="B15" s="28"/>
      <c r="C15" s="8" t="s">
        <v>16</v>
      </c>
      <c r="D15" s="42"/>
      <c r="E15" s="42"/>
      <c r="F15" s="42"/>
      <c r="G15" s="42"/>
      <c r="H15" s="42"/>
    </row>
    <row r="16" spans="2:8" ht="20.25" customHeight="1" x14ac:dyDescent="0.15">
      <c r="B16" s="28"/>
      <c r="C16" s="9" t="s">
        <v>17</v>
      </c>
      <c r="D16" s="10" cm="1">
        <f t="array" ref="D16">D10+D11+D12+D13+D14+D15</f>
        <v>0</v>
      </c>
      <c r="E16" s="10" cm="1">
        <f t="array" ref="E16">E10+E11+E12+E13+E14+E15</f>
        <v>0</v>
      </c>
      <c r="F16" s="10" cm="1">
        <f t="array" ref="F16">F10+F11+F12+F13+F14+F15</f>
        <v>0</v>
      </c>
      <c r="G16" s="10" cm="1">
        <f t="array" ref="G16">G10+G11+G12+G13+G14+G15</f>
        <v>0</v>
      </c>
      <c r="H16" s="10" cm="1">
        <f t="array" ref="H16">H10+H11+H12+H13+H14+H15</f>
        <v>0</v>
      </c>
    </row>
    <row r="17" spans="2:8" ht="21" customHeight="1" thickBot="1" x14ac:dyDescent="0.2">
      <c r="B17" s="31"/>
      <c r="C17" s="11" t="s">
        <v>18</v>
      </c>
      <c r="D17" s="12" cm="1">
        <f t="array" ref="D17">D16+D9</f>
        <v>0</v>
      </c>
      <c r="E17" s="12" cm="1">
        <f t="array" ref="E17">E16+E9</f>
        <v>0</v>
      </c>
      <c r="F17" s="12" cm="1">
        <f t="array" ref="F17">F16+F9</f>
        <v>0</v>
      </c>
      <c r="G17" s="12" cm="1">
        <f t="array" ref="G17">G16+G9</f>
        <v>0</v>
      </c>
      <c r="H17" s="12" cm="1">
        <f t="array" ref="H17">H16+H9</f>
        <v>0</v>
      </c>
    </row>
    <row r="18" spans="2:8" ht="20.75" customHeight="1" x14ac:dyDescent="0.15">
      <c r="B18" s="30" t="s">
        <v>19</v>
      </c>
      <c r="C18" s="2" t="s">
        <v>20</v>
      </c>
      <c r="D18" s="43"/>
      <c r="E18" s="43"/>
      <c r="F18" s="43"/>
      <c r="G18" s="43"/>
      <c r="H18" s="43"/>
    </row>
    <row r="19" spans="2:8" ht="20.25" customHeight="1" x14ac:dyDescent="0.15">
      <c r="B19" s="28"/>
      <c r="C19" s="4" t="s">
        <v>21</v>
      </c>
      <c r="D19" s="5" cm="1">
        <f t="array" ref="D19">D18*12</f>
        <v>0</v>
      </c>
      <c r="E19" s="5" cm="1">
        <f t="array" ref="E19">E18*12</f>
        <v>0</v>
      </c>
      <c r="F19" s="5" cm="1">
        <f t="array" ref="F19">F18*12</f>
        <v>0</v>
      </c>
      <c r="G19" s="5" cm="1">
        <f t="array" ref="G19">G18*12</f>
        <v>0</v>
      </c>
      <c r="H19" s="5" cm="1">
        <f t="array" ref="H19">H18*12</f>
        <v>0</v>
      </c>
    </row>
    <row r="20" spans="2:8" ht="20.25" customHeight="1" x14ac:dyDescent="0.15">
      <c r="B20" s="28"/>
      <c r="C20" s="9" t="s">
        <v>22</v>
      </c>
      <c r="D20" s="13" cm="1">
        <f t="array" ref="D20">D18-(D17/12)</f>
        <v>0</v>
      </c>
      <c r="E20" s="13" cm="1">
        <f t="array" ref="E20">(E19-E17)/12</f>
        <v>0</v>
      </c>
      <c r="F20" s="13" cm="1">
        <f t="array" ref="F20">(F19-F17)/12</f>
        <v>0</v>
      </c>
      <c r="G20" s="13" cm="1">
        <f t="array" ref="G20">(G19-G17)/12</f>
        <v>0</v>
      </c>
      <c r="H20" s="13" cm="1">
        <f t="array" ref="H20">(H19-H17)/12</f>
        <v>0</v>
      </c>
    </row>
    <row r="21" spans="2:8" ht="21" customHeight="1" thickBot="1" x14ac:dyDescent="0.2">
      <c r="B21" s="31"/>
      <c r="C21" s="11" t="s">
        <v>23</v>
      </c>
      <c r="D21" s="14" cm="1">
        <f t="array" ref="D21">D19-D17</f>
        <v>0</v>
      </c>
      <c r="E21" s="14" cm="1">
        <f t="array" ref="E21">E19-E17</f>
        <v>0</v>
      </c>
      <c r="F21" s="14" cm="1">
        <f t="array" ref="F21">F19-F17</f>
        <v>0</v>
      </c>
      <c r="G21" s="14" cm="1">
        <f t="array" ref="G21">G19-G17</f>
        <v>0</v>
      </c>
      <c r="H21" s="14" cm="1">
        <f t="array" ref="H21">H19-H17</f>
        <v>0</v>
      </c>
    </row>
    <row r="22" spans="2:8" ht="21" customHeight="1" x14ac:dyDescent="0.15">
      <c r="B22" s="30" t="s">
        <v>24</v>
      </c>
      <c r="C22" s="15" t="s">
        <v>25</v>
      </c>
      <c r="D22" s="22" cm="1">
        <f t="array" ref="D22">IFERROR(D7/D21,0)</f>
        <v>0</v>
      </c>
      <c r="E22" s="22" cm="1">
        <f t="array" ref="E22">IFERROR(E7/E21,0)</f>
        <v>0</v>
      </c>
      <c r="F22" s="22" cm="1">
        <f t="array" ref="F22">IFERROR(F7/F21,0)</f>
        <v>0</v>
      </c>
      <c r="G22" s="22" cm="1">
        <f t="array" ref="G22">IFERROR(G7/G21,0)</f>
        <v>0</v>
      </c>
      <c r="H22" s="22" cm="1">
        <f t="array" ref="H22">IFERROR(H7/H21,0)</f>
        <v>0</v>
      </c>
    </row>
    <row r="23" spans="2:8" ht="20.25" customHeight="1" x14ac:dyDescent="0.15">
      <c r="B23" s="28"/>
      <c r="C23" s="4" t="s">
        <v>26</v>
      </c>
      <c r="D23" s="16" cm="1">
        <f t="array" ref="D23">IFERROR(D18/D8,0)</f>
        <v>0</v>
      </c>
      <c r="E23" s="16" cm="1">
        <f t="array" ref="E23">IFERROR(E18/E8,0)</f>
        <v>0</v>
      </c>
      <c r="F23" s="16" cm="1">
        <f t="array" ref="F23">IFERROR(F18/F8,0)</f>
        <v>0</v>
      </c>
      <c r="G23" s="16" cm="1">
        <f t="array" ref="G23">IFERROR(G18/G8,0)</f>
        <v>0</v>
      </c>
      <c r="H23" s="16" cm="1">
        <f t="array" ref="H23">IFERROR(H18/H8,0)</f>
        <v>0</v>
      </c>
    </row>
    <row r="24" spans="2:8" ht="20.5" customHeight="1" x14ac:dyDescent="0.15">
      <c r="B24" s="28"/>
      <c r="C24" s="9" t="s">
        <v>27</v>
      </c>
      <c r="D24" s="17" cm="1">
        <f t="array" ref="D24">IFERROR(D19/D6,0)</f>
        <v>0</v>
      </c>
      <c r="E24" s="17" cm="1">
        <f t="array" ref="E24">IFERROR(E19/E6,0)</f>
        <v>0</v>
      </c>
      <c r="F24" s="17" cm="1">
        <f t="array" ref="F24">IFERROR(F19/F6,0)</f>
        <v>0</v>
      </c>
      <c r="G24" s="17" cm="1">
        <f t="array" ref="G24">IFERROR(G19/G6,0)</f>
        <v>0</v>
      </c>
      <c r="H24" s="17" cm="1">
        <f t="array" ref="H24">IFERROR(H19/H6,0)</f>
        <v>0</v>
      </c>
    </row>
    <row r="25" spans="2:8" ht="20.5" customHeight="1" x14ac:dyDescent="0.15">
      <c r="B25" s="28"/>
      <c r="C25" s="4" t="s">
        <v>28</v>
      </c>
      <c r="D25" s="16" cm="1">
        <f t="array" ref="D25">IFERROR((D19-D17)/D6,0)</f>
        <v>0</v>
      </c>
      <c r="E25" s="16" cm="1">
        <f t="array" ref="E25">IFERROR((E19-E17)/E6,0)</f>
        <v>0</v>
      </c>
      <c r="F25" s="16" cm="1">
        <f t="array" ref="F25">IFERROR((F19-F17)/F6,0)</f>
        <v>0</v>
      </c>
      <c r="G25" s="16" cm="1">
        <f t="array" ref="G25">IFERROR((G19-G17)/G6,0)</f>
        <v>0</v>
      </c>
      <c r="H25" s="16" cm="1">
        <f t="array" ref="H25">IFERROR((H19-H17)/H6,0)</f>
        <v>0</v>
      </c>
    </row>
    <row r="26" spans="2:8" ht="20.5" customHeight="1" x14ac:dyDescent="0.15">
      <c r="B26" s="28"/>
      <c r="C26" s="9" t="s">
        <v>29</v>
      </c>
      <c r="D26" s="17" cm="1">
        <f t="array" ref="D26">IFERROR(D19/D7,0)</f>
        <v>0</v>
      </c>
      <c r="E26" s="17" cm="1">
        <f t="array" ref="E26">IFERROR(E19/E7,0)</f>
        <v>0</v>
      </c>
      <c r="F26" s="17" cm="1">
        <f t="array" ref="F26">IFERROR(F19/F7,0)</f>
        <v>0</v>
      </c>
      <c r="G26" s="17" cm="1">
        <f t="array" ref="G26">IFERROR(G19/G7,0)</f>
        <v>0</v>
      </c>
      <c r="H26" s="17" cm="1">
        <f t="array" ref="H26">IFERROR(H19/H7,0)</f>
        <v>0</v>
      </c>
    </row>
    <row r="27" spans="2:8" ht="21" customHeight="1" thickBot="1" x14ac:dyDescent="0.2">
      <c r="B27" s="31"/>
      <c r="C27" s="11" t="s">
        <v>30</v>
      </c>
      <c r="D27" s="18" cm="1">
        <f t="array" ref="D27">IFERROR((D19-D17)/D7,0)</f>
        <v>0</v>
      </c>
      <c r="E27" s="18" cm="1">
        <f t="array" ref="E27">IFERROR((E19-E17)/E7,0)</f>
        <v>0</v>
      </c>
      <c r="F27" s="18" cm="1">
        <f t="array" ref="F27">IFERROR((F19-F17)/F7,0)</f>
        <v>0</v>
      </c>
      <c r="G27" s="18" cm="1">
        <f t="array" ref="G27">IFERROR((G19-G17)/G7,0)</f>
        <v>0</v>
      </c>
      <c r="H27" s="18" cm="1">
        <f t="array" ref="H27">IFERROR((H19-H17)/H7,0)</f>
        <v>0</v>
      </c>
    </row>
    <row r="28" spans="2:8" ht="21" customHeight="1" thickBot="1" x14ac:dyDescent="0.2">
      <c r="B28" s="25" t="s">
        <v>31</v>
      </c>
      <c r="C28" s="15" t="s">
        <v>32</v>
      </c>
      <c r="D28" s="19" cm="1">
        <f t="array" ref="D28">D17</f>
        <v>0</v>
      </c>
      <c r="E28" s="19" cm="1">
        <f t="array" ref="E28">D28+E17</f>
        <v>0</v>
      </c>
      <c r="F28" s="19" cm="1">
        <f t="array" ref="F28">E28+F17</f>
        <v>0</v>
      </c>
      <c r="G28" s="19" cm="1">
        <f t="array" ref="G28">F28+G17</f>
        <v>0</v>
      </c>
      <c r="H28" s="19" cm="1">
        <f t="array" ref="H28">G28+H17</f>
        <v>0</v>
      </c>
    </row>
    <row r="29" spans="2:8" ht="20.5" customHeight="1" thickBot="1" x14ac:dyDescent="0.2">
      <c r="B29" s="26"/>
      <c r="C29" s="4" t="s">
        <v>33</v>
      </c>
      <c r="D29" s="5" cm="1">
        <f t="array" ref="D29">D28/12</f>
        <v>0</v>
      </c>
      <c r="E29" s="5" cm="1">
        <f t="array" ref="E29">E28/12</f>
        <v>0</v>
      </c>
      <c r="F29" s="5" cm="1">
        <f t="array" ref="F29">F28/12</f>
        <v>0</v>
      </c>
      <c r="G29" s="5" cm="1">
        <f t="array" ref="G29">G28/12</f>
        <v>0</v>
      </c>
      <c r="H29" s="5" cm="1">
        <f t="array" ref="H29">H28/12</f>
        <v>0</v>
      </c>
    </row>
    <row r="30" spans="2:8" ht="20.5" customHeight="1" x14ac:dyDescent="0.15">
      <c r="B30" s="27"/>
      <c r="C30" s="9" t="s">
        <v>34</v>
      </c>
      <c r="D30" s="13" cm="1">
        <f t="array" ref="D30">D19</f>
        <v>0</v>
      </c>
      <c r="E30" s="13" cm="1">
        <f t="array" ref="E30">D30+E19</f>
        <v>0</v>
      </c>
      <c r="F30" s="13" cm="1">
        <f t="array" ref="F30">E30+F19</f>
        <v>0</v>
      </c>
      <c r="G30" s="13" cm="1">
        <f t="array" ref="G30">F30+G19</f>
        <v>0</v>
      </c>
      <c r="H30" s="13" cm="1">
        <f t="array" ref="H30">G30+H19</f>
        <v>0</v>
      </c>
    </row>
    <row r="31" spans="2:8" ht="20.5" customHeight="1" x14ac:dyDescent="0.15">
      <c r="B31" s="28"/>
      <c r="C31" s="4" t="s">
        <v>35</v>
      </c>
      <c r="D31" s="5" cm="1">
        <f t="array" ref="D31">D30/12</f>
        <v>0</v>
      </c>
      <c r="E31" s="5" cm="1">
        <f t="array" ref="E31">E30/12</f>
        <v>0</v>
      </c>
      <c r="F31" s="5" cm="1">
        <f t="array" ref="F31">F30/12</f>
        <v>0</v>
      </c>
      <c r="G31" s="5" cm="1">
        <f t="array" ref="G31">G30/12</f>
        <v>0</v>
      </c>
      <c r="H31" s="5" cm="1">
        <f t="array" ref="H31">H30/12</f>
        <v>0</v>
      </c>
    </row>
    <row r="32" spans="2:8" ht="20.5" customHeight="1" x14ac:dyDescent="0.15">
      <c r="B32" s="28"/>
      <c r="C32" s="9" t="s">
        <v>36</v>
      </c>
      <c r="D32" s="13" cm="1">
        <f t="array" ref="D32">D21</f>
        <v>0</v>
      </c>
      <c r="E32" s="13" cm="1">
        <f t="array" ref="E32">D32+E21</f>
        <v>0</v>
      </c>
      <c r="F32" s="20" cm="1">
        <f t="array" ref="F32">E32+F21</f>
        <v>0</v>
      </c>
      <c r="G32" s="20" cm="1">
        <f t="array" ref="G32">F32+G21</f>
        <v>0</v>
      </c>
      <c r="H32" s="20" cm="1">
        <f t="array" ref="H32">G32+H21</f>
        <v>0</v>
      </c>
    </row>
    <row r="33" spans="2:8" ht="21" customHeight="1" thickBot="1" x14ac:dyDescent="0.2">
      <c r="B33" s="29"/>
      <c r="C33" s="11" t="s">
        <v>37</v>
      </c>
      <c r="D33" s="21" cm="1">
        <f t="array" ref="D33">D32/12</f>
        <v>0</v>
      </c>
      <c r="E33" s="21" cm="1">
        <f t="array" ref="E33">E32/12</f>
        <v>0</v>
      </c>
      <c r="F33" s="21" cm="1">
        <f t="array" ref="F33">F32/12</f>
        <v>0</v>
      </c>
      <c r="G33" s="21" cm="1">
        <f t="array" ref="G33">G32/12</f>
        <v>0</v>
      </c>
      <c r="H33" s="21" cm="1">
        <f t="array" ref="H33">H32/12</f>
        <v>0</v>
      </c>
    </row>
  </sheetData>
  <sheetProtection algorithmName="SHA-512" hashValue="hJ33Gjxuhzw7qSt8TLRNn0cwxfQdRILJmVs88rJ+y1pJ117655AiK8GQoo5kvKg7mqH4JEjqVXRP07qC7IKqfw==" saltValue="mar6nEH196HXpaKhWDamag==" spinCount="100000" sheet="1" objects="1" scenarios="1"/>
  <mergeCells count="9">
    <mergeCell ref="B2:C3"/>
    <mergeCell ref="B28:B33"/>
    <mergeCell ref="B6:B7"/>
    <mergeCell ref="B22:B27"/>
    <mergeCell ref="B4:F4"/>
    <mergeCell ref="B18:B21"/>
    <mergeCell ref="B5:C5"/>
    <mergeCell ref="B8:B9"/>
    <mergeCell ref="B10:B17"/>
  </mergeCells>
  <hyperlinks>
    <hyperlink ref="B2" r:id="rId1" xr:uid="{CCF4DAFF-2AA2-3849-801A-BF0351ABB409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showGridLines="0" zoomScale="93" workbookViewId="0">
      <selection sqref="A1:XFD1"/>
    </sheetView>
  </sheetViews>
  <sheetFormatPr baseColWidth="10" defaultColWidth="10" defaultRowHeight="13" customHeight="1" x14ac:dyDescent="0.15"/>
  <cols>
    <col min="1" max="1" width="10" customWidth="1"/>
  </cols>
  <sheetData>
    <row r="1" customFormat="1" ht="13" customHeight="1" x14ac:dyDescent="0.15"/>
    <row r="2" customFormat="1" ht="13" customHeight="1" x14ac:dyDescent="0.15"/>
    <row r="3" customFormat="1" ht="13" customHeight="1" x14ac:dyDescent="0.15"/>
    <row r="4" customFormat="1" ht="13" customHeight="1" x14ac:dyDescent="0.15"/>
  </sheetData>
  <sheetProtection algorithmName="SHA-512" hashValue="jO6HsCNNEv59CNPkzHzBPmfhkRCGCvaTazE8FLt1499/ggagS/G7v2pY4mOwwtyiBKJc2xegC/wlNt49ofv4ng==" saltValue="MIQ9YIoKwLc9m26bfPvfGg==" spinCount="100000" sheet="1" objects="1" scenarios="1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CÁLCULOS REALISTAS</vt:lpstr>
      <vt:lpstr>CÁLCULOS HIPOTÉTICOS</vt:lpstr>
      <vt:lpstr>Explicación de las 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I. Molina Rodríguez</cp:lastModifiedBy>
  <dcterms:modified xsi:type="dcterms:W3CDTF">2025-12-17T20:31:40Z</dcterms:modified>
</cp:coreProperties>
</file>